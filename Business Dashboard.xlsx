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650" firstSheet="5"/>
  </bookViews>
  <sheets>
    <sheet name="DashBoard" sheetId="9" r:id="rId1"/>
    <sheet name=" Monthly Revenue" sheetId="4" r:id="rId2"/>
    <sheet name="Region Wise Revenue" sheetId="5" r:id="rId3"/>
    <sheet name="Qty Sold of Products" sheetId="6" r:id="rId4"/>
    <sheet name="Product Wise Revenue" sheetId="7" r:id="rId5"/>
    <sheet name="Revenue Through Sales Channel" sheetId="8" r:id="rId6"/>
    <sheet name="Project Database" sheetId="1" r:id="rId7"/>
    <sheet name="Sales Analysis" sheetId="2" r:id="rId8"/>
    <sheet name="WHAT-IF Analysis" sheetId="3" r:id="rId9"/>
  </sheets>
  <calcPr calcId="162913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I2" i="2" a="1"/>
  <c r="I2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5" i="3"/>
  <c r="B5" i="3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E9" i="2" a="1"/>
  <c r="E9" i="2"/>
  <c r="F9" i="2" s="1"/>
  <c r="A9" i="2" a="1"/>
  <c r="A9" i="2"/>
  <c r="B9" i="2" s="1"/>
  <c r="E2" i="2" a="1"/>
  <c r="E2" i="2"/>
  <c r="F2" i="2" s="1"/>
  <c r="A2" i="2" a="1"/>
  <c r="A2" i="2"/>
  <c r="B2" i="2" s="1"/>
  <c r="K4" i="1" l="1" a="1"/>
  <c r="K4" i="1" s="1"/>
  <c r="F3" i="2"/>
  <c r="F4" i="2"/>
  <c r="J3" i="2"/>
  <c r="J4" i="2"/>
  <c r="J5" i="2"/>
  <c r="B13" i="2"/>
  <c r="B10" i="2"/>
  <c r="B11" i="2"/>
  <c r="B12" i="2"/>
  <c r="B14" i="2"/>
  <c r="F10" i="2"/>
  <c r="F11" i="2"/>
  <c r="F12" i="2"/>
  <c r="B3" i="2"/>
  <c r="B4" i="2"/>
  <c r="B5" i="2"/>
  <c r="F13" i="2" l="1"/>
  <c r="B15" i="2"/>
  <c r="J6" i="2"/>
  <c r="F5" i="2"/>
  <c r="B6" i="2"/>
  <c r="E12" i="2"/>
  <c r="E11" i="2"/>
  <c r="E10" i="2"/>
  <c r="A14" i="2"/>
  <c r="A13" i="2"/>
  <c r="A12" i="2"/>
  <c r="A11" i="2"/>
  <c r="A10" i="2"/>
  <c r="I5" i="2"/>
  <c r="I4" i="2"/>
  <c r="I3" i="2"/>
  <c r="E4" i="2"/>
  <c r="E3" i="2"/>
  <c r="A5" i="2"/>
  <c r="A4" i="2"/>
  <c r="A3" i="2"/>
  <c r="T13" i="1"/>
  <c r="S13" i="1"/>
  <c r="R13" i="1"/>
  <c r="Q13" i="1"/>
  <c r="P13" i="1"/>
  <c r="O13" i="1"/>
  <c r="N13" i="1"/>
  <c r="M13" i="1"/>
  <c r="L13" i="1"/>
  <c r="K13" i="1"/>
  <c r="T12" i="1"/>
  <c r="S12" i="1"/>
  <c r="R12" i="1"/>
  <c r="Q12" i="1"/>
  <c r="P12" i="1"/>
  <c r="O12" i="1"/>
  <c r="N12" i="1"/>
  <c r="M12" i="1"/>
  <c r="L12" i="1"/>
  <c r="K12" i="1"/>
  <c r="T11" i="1"/>
  <c r="S11" i="1"/>
  <c r="R11" i="1"/>
  <c r="Q11" i="1"/>
  <c r="P11" i="1"/>
  <c r="O11" i="1"/>
  <c r="N11" i="1"/>
  <c r="M11" i="1"/>
  <c r="L11" i="1"/>
  <c r="K11" i="1"/>
  <c r="T10" i="1"/>
  <c r="S10" i="1"/>
  <c r="R10" i="1"/>
  <c r="Q10" i="1"/>
  <c r="P10" i="1"/>
  <c r="O10" i="1"/>
  <c r="N10" i="1"/>
  <c r="M10" i="1"/>
  <c r="L10" i="1"/>
  <c r="K10" i="1"/>
  <c r="T9" i="1"/>
  <c r="S9" i="1"/>
  <c r="R9" i="1"/>
  <c r="Q9" i="1"/>
  <c r="P9" i="1"/>
  <c r="O9" i="1"/>
  <c r="N9" i="1"/>
  <c r="M9" i="1"/>
  <c r="L9" i="1"/>
  <c r="K9" i="1"/>
  <c r="T8" i="1"/>
  <c r="S8" i="1"/>
  <c r="R8" i="1"/>
  <c r="Q8" i="1"/>
  <c r="P8" i="1"/>
  <c r="O8" i="1"/>
  <c r="N8" i="1"/>
  <c r="M8" i="1"/>
  <c r="L8" i="1"/>
  <c r="K8" i="1"/>
  <c r="T7" i="1"/>
  <c r="S7" i="1"/>
  <c r="R7" i="1"/>
  <c r="Q7" i="1"/>
  <c r="P7" i="1"/>
  <c r="O7" i="1"/>
  <c r="N7" i="1"/>
  <c r="M7" i="1"/>
  <c r="L7" i="1"/>
  <c r="K7" i="1"/>
  <c r="T6" i="1"/>
  <c r="S6" i="1"/>
  <c r="R6" i="1"/>
  <c r="Q6" i="1"/>
  <c r="P6" i="1"/>
  <c r="O6" i="1"/>
  <c r="N6" i="1"/>
  <c r="M6" i="1"/>
  <c r="L6" i="1"/>
  <c r="K6" i="1"/>
  <c r="T5" i="1"/>
  <c r="S5" i="1"/>
  <c r="R5" i="1"/>
  <c r="Q5" i="1"/>
  <c r="P5" i="1"/>
  <c r="O5" i="1"/>
  <c r="N5" i="1"/>
  <c r="M5" i="1"/>
  <c r="L5" i="1"/>
  <c r="K5" i="1"/>
  <c r="T4" i="1"/>
  <c r="S4" i="1"/>
  <c r="R4" i="1"/>
  <c r="Q4" i="1"/>
  <c r="P4" i="1"/>
  <c r="O4" i="1"/>
  <c r="N4" i="1"/>
  <c r="M4" i="1"/>
  <c r="L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<sst xmlns="http://schemas.openxmlformats.org/spreadsheetml/2006/main" count="314" uniqueCount="44">
  <si>
    <t>DashBoard</t>
  </si>
  <si>
    <t>Product</t>
  </si>
  <si>
    <t>Sum of Revenue</t>
  </si>
  <si>
    <t>Keyboard</t>
  </si>
  <si>
    <t>Laptop</t>
  </si>
  <si>
    <t>Monitor</t>
  </si>
  <si>
    <t>Mouse</t>
  </si>
  <si>
    <t>Smartphone</t>
  </si>
  <si>
    <t>Tablet</t>
  </si>
  <si>
    <t>Grand Total</t>
  </si>
  <si>
    <t>Month</t>
  </si>
  <si>
    <t>Region</t>
  </si>
  <si>
    <t>East</t>
  </si>
  <si>
    <t>North</t>
  </si>
  <si>
    <t>South</t>
  </si>
  <si>
    <t>West</t>
  </si>
  <si>
    <t>Sum of Units_Sold</t>
  </si>
  <si>
    <t>Sales_Channel</t>
  </si>
  <si>
    <t>Online</t>
  </si>
  <si>
    <t>Retail</t>
  </si>
  <si>
    <t>Wholesale</t>
  </si>
  <si>
    <t>Date</t>
  </si>
  <si>
    <t>Units_Sold</t>
  </si>
  <si>
    <t>Unit_Price</t>
  </si>
  <si>
    <t>Dicount</t>
  </si>
  <si>
    <t>Revenue</t>
  </si>
  <si>
    <t>Sales_Person</t>
  </si>
  <si>
    <t>Filtering</t>
  </si>
  <si>
    <t>Alex</t>
  </si>
  <si>
    <t>Bella</t>
  </si>
  <si>
    <t>Chris</t>
  </si>
  <si>
    <t>Diana</t>
  </si>
  <si>
    <t>Total Revenue Generated by Sales Person</t>
  </si>
  <si>
    <t>Sales Channel</t>
  </si>
  <si>
    <t xml:space="preserve">Total Revenue Generated through Sales Channel </t>
  </si>
  <si>
    <t>Total Revenue Region Wise</t>
  </si>
  <si>
    <t>Total</t>
  </si>
  <si>
    <t xml:space="preserve">Total </t>
  </si>
  <si>
    <t>Qty Sold of Different Products</t>
  </si>
  <si>
    <t>Qty Sold in Different Regions</t>
  </si>
  <si>
    <t>SCENARIO MANAGER</t>
  </si>
  <si>
    <t>Input (Discount )</t>
  </si>
  <si>
    <t>Output  ( Total Revenue / Sales )</t>
  </si>
  <si>
    <t xml:space="preserve"> Sales / Revenue  as per Comman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</si>
</sst>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"/>
  </numFmts>
  <fonts count="8">
    <font>
      <sz val="11"/>
      <color theme="1"/>
      <name val="Aptos Narrow"/>
      <family val="2"/>
      <scheme val="minor"/>
    </font>
    <font>
      <sz val="11"/>
      <color theme="1"/>
      <name val="Bookman Old Style"/>
    </font>
    <font>
      <sz val="11"/>
      <color rgb="FF000000"/>
      <name val="Century Gothic"/>
    </font>
    <font>
      <sz val="11"/>
      <color theme="1"/>
      <name val="Franklin Gothic"/>
    </font>
    <font>
      <sz val="11"/>
      <color theme="1"/>
      <name val="Lucida Sans"/>
    </font>
    <font>
      <sz val="11"/>
      <color theme="0"/>
      <name val="Lucida Sans"/>
    </font>
    <font>
      <sz val="26"/>
      <color rgb="FF000000"/>
      <name val="Aptos Narrow"/>
      <scheme val="minor"/>
    </font>
    <font>
      <sz val="36"/>
      <color rgb="FF000000"/>
      <name val="Gill Sans MT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0" fillId="0" borderId="0" xfId="0" applyAlignment="1"/>
    <xf numFmtId="14" fontId="1" fillId="0" borderId="4" xfId="0" applyNumberFormat="1" applyFont="1" applyBorder="1" applyAlignment="1">
      <alignment horizontal="center" wrapText="1"/>
    </xf>
    <xf numFmtId="14" fontId="0" fillId="0" borderId="0" xfId="0" applyNumberFormat="1"/>
    <xf numFmtId="1" fontId="1" fillId="0" borderId="5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0" fillId="0" borderId="0" xfId="0" applyNumberFormat="1"/>
    <xf numFmtId="164" fontId="1" fillId="0" borderId="5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0" fillId="0" borderId="0" xfId="0" applyNumberFormat="1"/>
    <xf numFmtId="10" fontId="1" fillId="0" borderId="5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0" fontId="2" fillId="0" borderId="8" xfId="0" applyNumberFormat="1" applyFont="1" applyBorder="1" applyAlignment="1">
      <alignment horizontal="center"/>
    </xf>
    <xf numFmtId="10" fontId="0" fillId="0" borderId="0" xfId="0" applyNumberFormat="1"/>
    <xf numFmtId="0" fontId="4" fillId="0" borderId="3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0" fontId="3" fillId="2" borderId="1" xfId="0" applyNumberFormat="1" applyFont="1" applyFill="1" applyBorder="1" applyAlignment="1">
      <alignment horizontal="center"/>
    </xf>
    <xf numFmtId="10" fontId="4" fillId="7" borderId="1" xfId="0" applyNumberFormat="1" applyFont="1" applyFill="1" applyBorder="1" applyAlignment="1">
      <alignment horizontal="center"/>
    </xf>
    <xf numFmtId="164" fontId="4" fillId="7" borderId="3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1" fillId="0" borderId="11" xfId="0" applyFont="1" applyBorder="1" applyAlignment="1">
      <alignment horizontal="center"/>
    </xf>
    <xf numFmtId="0" fontId="0" fillId="3" borderId="0" xfId="0" applyFill="1"/>
    <xf numFmtId="0" fontId="7" fillId="3" borderId="1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14" fontId="7" fillId="8" borderId="10" xfId="0" applyNumberFormat="1" applyFont="1" applyFill="1" applyBorder="1" applyAlignment="1">
      <alignment horizontal="center"/>
    </xf>
    <xf numFmtId="14" fontId="7" fillId="8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15">
    <dxf>
      <font>
        <color rgb="FF000000"/>
        <name val="Century Gothic"/>
      </font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  <name val="Century Gothic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  <name val="Century Gothic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  <name val="Century Gothic"/>
      </font>
      <numFmt numFmtId="164" formatCode="&quot;₹&quot;\ #,##0.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  <name val="Century Gothic"/>
      </font>
      <numFmt numFmtId="164" formatCode="&quot;₹&quot;\ #,##0.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  <name val="Century Gothic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  <name val="Century Gothic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  <name val="Century Gothic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  <name val="Century Gothic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  <name val="Century Gothic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name val="Bookman Old Styl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colors>
    <mruColors>
      <color rgb="FFFFFF99"/>
      <color rgb="FFFFFF66"/>
      <color rgb="FFDBEE68"/>
      <color rgb="FFB5E6A4"/>
      <color rgb="FFB4E5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[Practical_Exam.xlsx] Monthly Revenue!PivotTable2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'Revenue' by 'Month'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/>
              <a:ea typeface="Gill Sans MT"/>
              <a:cs typeface="Gill Sans MT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Monthly Revenue'!$A$4:$A$6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 Monthly Revenue'!$B$4:$B$6</c:f>
              <c:numCache>
                <c:formatCode>"₹"\ #,##0.0</c:formatCode>
                <c:ptCount val="2"/>
                <c:pt idx="0">
                  <c:v>116500</c:v>
                </c:pt>
                <c:pt idx="1">
                  <c:v>119325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6-4A67-AC76-45376E98CE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490402823"/>
        <c:axId val="490404871"/>
      </c:barChart>
      <c:catAx>
        <c:axId val="490402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04871"/>
        <c:crosses val="autoZero"/>
        <c:auto val="1"/>
        <c:lblAlgn val="ctr"/>
        <c:lblOffset val="100"/>
        <c:noMultiLvlLbl val="0"/>
      </c:catAx>
      <c:valAx>
        <c:axId val="490404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02823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[Practical_Exam.xlsx]Product Wise Revenue!PivotTable5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'Revenue' by 'Product'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/>
              <a:ea typeface="Gill Sans MT"/>
              <a:cs typeface="Gill Sans MT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99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Wise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ucida Sans"/>
                    <a:ea typeface="Lucida Sans"/>
                    <a:cs typeface="Lucida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Wise Revenue'!$A$4:$A$10</c:f>
              <c:strCache>
                <c:ptCount val="6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'Product Wise Revenue'!$B$4:$B$10</c:f>
              <c:numCache>
                <c:formatCode>"₹"\ #,##0.0</c:formatCode>
                <c:ptCount val="6"/>
                <c:pt idx="0">
                  <c:v>11650</c:v>
                </c:pt>
                <c:pt idx="1">
                  <c:v>60300</c:v>
                </c:pt>
                <c:pt idx="2">
                  <c:v>28500</c:v>
                </c:pt>
                <c:pt idx="3">
                  <c:v>9375</c:v>
                </c:pt>
                <c:pt idx="4">
                  <c:v>92400</c:v>
                </c:pt>
                <c:pt idx="5">
                  <c:v>33600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1-490F-B656-D8DB2350B2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1"/>
        <c:overlap val="-30"/>
        <c:axId val="222201351"/>
        <c:axId val="222203399"/>
      </c:barChart>
      <c:catAx>
        <c:axId val="222201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Product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/>
                  <a:ea typeface="Gill Sans MT"/>
                  <a:cs typeface="Gill Sans MT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203399"/>
        <c:crosses val="autoZero"/>
        <c:auto val="1"/>
        <c:lblAlgn val="ctr"/>
        <c:lblOffset val="100"/>
        <c:noMultiLvlLbl val="0"/>
      </c:catAx>
      <c:valAx>
        <c:axId val="222203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Revenue</a:t>
                </a:r>
              </a:p>
            </c:rich>
          </c:tx>
          <c:layout>
            <c:manualLayout>
              <c:xMode val="edge"/>
              <c:yMode val="edge"/>
              <c:x val="2.9481692819781264E-2"/>
              <c:y val="0.394088566227271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/>
                  <a:ea typeface="Gill Sans MT"/>
                  <a:cs typeface="Gill Sans MT"/>
                </a:defRPr>
              </a:pPr>
              <a:endParaRPr lang="en-US"/>
            </a:p>
          </c:txPr>
        </c:title>
        <c:numFmt formatCode="&quot;₹&quot;\ 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201351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0F1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[Practical_Exam.xlsx]Region Wise Revenue!PivotTable3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'Revenue' by 'Region'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/>
              <a:ea typeface="Gill Sans MT"/>
              <a:cs typeface="Gill Sans MT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'Region Wise Revenue'!$B$3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08-44F0-836E-F0D8EE24F5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08-44F0-836E-F0D8EE24F5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08-44F0-836E-F0D8EE24F5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08-44F0-836E-F0D8EE24F5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'Region Wise Revenue'!$A$4:$A$8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Revenue'!$B$4:$B$8</c:f>
              <c:numCache>
                <c:formatCode>"₹"\ #,##0.0</c:formatCode>
                <c:ptCount val="4"/>
                <c:pt idx="0">
                  <c:v>76150</c:v>
                </c:pt>
                <c:pt idx="1">
                  <c:v>88200</c:v>
                </c:pt>
                <c:pt idx="2">
                  <c:v>35275</c:v>
                </c:pt>
                <c:pt idx="3">
                  <c:v>36200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08-44F0-836E-F0D8EE24F5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520969843804493"/>
          <c:y val="0.41039630915700753"/>
          <c:w val="0.11010498687664041"/>
          <c:h val="0.339600593404085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0F1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[Practical_Exam.xlsx]Revenue Through Sales Channel!PivotTable6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'Revenue' by 'Sales_Channel'</a:t>
            </a:r>
          </a:p>
        </c:rich>
      </c:tx>
      <c:layout>
        <c:manualLayout>
          <c:xMode val="edge"/>
          <c:yMode val="edge"/>
          <c:x val="0.31731598767545355"/>
          <c:y val="3.60110803324099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/>
              <a:ea typeface="Gill Sans MT"/>
              <a:cs typeface="Gill Sans MT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Through Sales Channel'!$B$3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EF-42FF-A41F-F46F6FDBD9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EF-42FF-A41F-F46F6FDBD9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EF-42FF-A41F-F46F6FDBD9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ucida Sans"/>
                    <a:ea typeface="Lucida Sans"/>
                    <a:cs typeface="Lucida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'Revenue Through Sales Channel'!$A$4:$A$7</c:f>
              <c:strCache>
                <c:ptCount val="3"/>
                <c:pt idx="0">
                  <c:v>Online</c:v>
                </c:pt>
                <c:pt idx="1">
                  <c:v>Retail</c:v>
                </c:pt>
                <c:pt idx="2">
                  <c:v>Wholesale</c:v>
                </c:pt>
              </c:strCache>
            </c:strRef>
          </c:cat>
          <c:val>
            <c:numRef>
              <c:f>'Revenue Through Sales Channel'!$B$4:$B$7</c:f>
              <c:numCache>
                <c:formatCode>"₹"\ #,##0.0</c:formatCode>
                <c:ptCount val="3"/>
                <c:pt idx="0">
                  <c:v>81675</c:v>
                </c:pt>
                <c:pt idx="1">
                  <c:v>88825</c:v>
                </c:pt>
                <c:pt idx="2">
                  <c:v>65325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EF-42FF-A41F-F46F6FDBD9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0F1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[Practical_Exam.xlsx]Qty Sold of Products!PivotTable4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'Units_Sold' by 'Product'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/>
              <a:ea typeface="Gill Sans MT"/>
              <a:cs typeface="Gill Sans MT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'Qty Sold of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A9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Lucida Sans"/>
                    <a:ea typeface="Lucida Sans"/>
                    <a:cs typeface="Lucida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'Qty Sold of Products'!$A$4:$A$10</c:f>
              <c:strCache>
                <c:ptCount val="6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'Qty Sold of Products'!$B$4:$B$10</c:f>
              <c:numCache>
                <c:formatCode>0</c:formatCode>
                <c:ptCount val="6"/>
                <c:pt idx="0">
                  <c:v>233</c:v>
                </c:pt>
                <c:pt idx="1">
                  <c:v>67</c:v>
                </c:pt>
                <c:pt idx="2">
                  <c:v>114</c:v>
                </c:pt>
                <c:pt idx="3">
                  <c:v>375</c:v>
                </c:pt>
                <c:pt idx="4">
                  <c:v>132</c:v>
                </c:pt>
                <c:pt idx="5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D-4CE1-BC48-E0F2F7439F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118778887"/>
        <c:axId val="770167816"/>
      </c:barChart>
      <c:catAx>
        <c:axId val="118778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67816"/>
        <c:crosses val="autoZero"/>
        <c:auto val="1"/>
        <c:lblAlgn val="ctr"/>
        <c:lblOffset val="100"/>
        <c:noMultiLvlLbl val="0"/>
      </c:catAx>
      <c:valAx>
        <c:axId val="77016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Units_Sold</a:t>
                </a:r>
              </a:p>
            </c:rich>
          </c:tx>
          <c:layout>
            <c:manualLayout>
              <c:xMode val="edge"/>
              <c:yMode val="edge"/>
              <c:x val="1.5175300889586603E-2"/>
              <c:y val="0.37494743324682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/>
                  <a:ea typeface="Gill Sans MT"/>
                  <a:cs typeface="Gill Sans MT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78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0F1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[Practical_Exam.xlsx] Monthly Revenue!PivotTable2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'Revenue' by 'Month'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/>
              <a:ea typeface="Gill Sans MT"/>
              <a:cs typeface="Gill Sans MT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A9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Monthly Revenue'!$A$4:$A$6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 Monthly Revenue'!$B$4:$B$6</c:f>
              <c:numCache>
                <c:formatCode>"₹"\ #,##0.0</c:formatCode>
                <c:ptCount val="2"/>
                <c:pt idx="0">
                  <c:v>116500</c:v>
                </c:pt>
                <c:pt idx="1">
                  <c:v>119325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72-4858-92F2-A8E156CD2E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490402823"/>
        <c:axId val="490404871"/>
      </c:barChart>
      <c:catAx>
        <c:axId val="490402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04871"/>
        <c:crosses val="autoZero"/>
        <c:auto val="1"/>
        <c:lblAlgn val="ctr"/>
        <c:lblOffset val="100"/>
        <c:noMultiLvlLbl val="0"/>
      </c:catAx>
      <c:valAx>
        <c:axId val="490404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02823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0F1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[Practical_Exam.xlsx]Region Wise Revenue!PivotTable3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'Revenue' by 'Region'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/>
              <a:ea typeface="Gill Sans MT"/>
              <a:cs typeface="Gill Sans MT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'Region Wise Revenue'!$B$3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49-4C7E-91F8-93F23C932C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49-4C7E-91F8-93F23C932C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49-4C7E-91F8-93F23C932C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49-4C7E-91F8-93F23C932C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 Wise Revenue'!$A$4:$A$8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Revenue'!$B$4:$B$8</c:f>
              <c:numCache>
                <c:formatCode>"₹"\ #,##0.0</c:formatCode>
                <c:ptCount val="4"/>
                <c:pt idx="0">
                  <c:v>76150</c:v>
                </c:pt>
                <c:pt idx="1">
                  <c:v>88200</c:v>
                </c:pt>
                <c:pt idx="2">
                  <c:v>35275</c:v>
                </c:pt>
                <c:pt idx="3">
                  <c:v>36200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DE-4ED1-9F1B-27140FCCA2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520969843804493"/>
          <c:y val="0.41039630915700753"/>
          <c:w val="0.11010498687664041"/>
          <c:h val="0.339600593404085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0F1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[Practical_Exam.xlsx]Qty Sold of Products!PivotTable4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'Units_Sold' by 'Product'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/>
              <a:ea typeface="Gill Sans MT"/>
              <a:cs typeface="Gill Sans MT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'Qty Sold of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A9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Lucida Sans"/>
                    <a:ea typeface="Lucida Sans"/>
                    <a:cs typeface="Lucida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'Qty Sold of Products'!$A$4:$A$10</c:f>
              <c:strCache>
                <c:ptCount val="6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'Qty Sold of Products'!$B$4:$B$10</c:f>
              <c:numCache>
                <c:formatCode>0</c:formatCode>
                <c:ptCount val="6"/>
                <c:pt idx="0">
                  <c:v>233</c:v>
                </c:pt>
                <c:pt idx="1">
                  <c:v>67</c:v>
                </c:pt>
                <c:pt idx="2">
                  <c:v>114</c:v>
                </c:pt>
                <c:pt idx="3">
                  <c:v>375</c:v>
                </c:pt>
                <c:pt idx="4">
                  <c:v>132</c:v>
                </c:pt>
                <c:pt idx="5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06-4D99-B366-43F5B1B0C9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118778887"/>
        <c:axId val="770167816"/>
      </c:barChart>
      <c:catAx>
        <c:axId val="118778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67816"/>
        <c:crosses val="autoZero"/>
        <c:auto val="1"/>
        <c:lblAlgn val="ctr"/>
        <c:lblOffset val="100"/>
        <c:noMultiLvlLbl val="0"/>
      </c:catAx>
      <c:valAx>
        <c:axId val="77016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Units_Sold</a:t>
                </a:r>
              </a:p>
            </c:rich>
          </c:tx>
          <c:layout>
            <c:manualLayout>
              <c:xMode val="edge"/>
              <c:yMode val="edge"/>
              <c:x val="1.5175300889586603E-2"/>
              <c:y val="0.37494743324682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/>
                  <a:ea typeface="Gill Sans MT"/>
                  <a:cs typeface="Gill Sans MT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78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0F1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[Practical_Exam.xlsx]Product Wise Revenue!PivotTable5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'Revenue' by 'Product'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/>
              <a:ea typeface="Gill Sans MT"/>
              <a:cs typeface="Gill Sans MT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Wise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A9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ucida Sans"/>
                    <a:ea typeface="Lucida Sans"/>
                    <a:cs typeface="Lucida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Wise Revenue'!$A$4:$A$10</c:f>
              <c:strCache>
                <c:ptCount val="6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'Product Wise Revenue'!$B$4:$B$10</c:f>
              <c:numCache>
                <c:formatCode>"₹"\ #,##0.0</c:formatCode>
                <c:ptCount val="6"/>
                <c:pt idx="0">
                  <c:v>11650</c:v>
                </c:pt>
                <c:pt idx="1">
                  <c:v>60300</c:v>
                </c:pt>
                <c:pt idx="2">
                  <c:v>28500</c:v>
                </c:pt>
                <c:pt idx="3">
                  <c:v>9375</c:v>
                </c:pt>
                <c:pt idx="4">
                  <c:v>92400</c:v>
                </c:pt>
                <c:pt idx="5">
                  <c:v>33600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22-40CA-96F0-C55C31B061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1"/>
        <c:overlap val="-30"/>
        <c:axId val="222201351"/>
        <c:axId val="222203399"/>
      </c:barChart>
      <c:catAx>
        <c:axId val="222201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/>
                  <a:ea typeface="Gill Sans MT"/>
                  <a:cs typeface="Gill Sans MT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203399"/>
        <c:crosses val="autoZero"/>
        <c:auto val="1"/>
        <c:lblAlgn val="ctr"/>
        <c:lblOffset val="100"/>
        <c:noMultiLvlLbl val="0"/>
      </c:catAx>
      <c:valAx>
        <c:axId val="222203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Revenue</a:t>
                </a:r>
              </a:p>
            </c:rich>
          </c:tx>
          <c:layout>
            <c:manualLayout>
              <c:xMode val="edge"/>
              <c:yMode val="edge"/>
              <c:x val="2.9481692819781264E-2"/>
              <c:y val="0.394088566227271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/>
                  <a:ea typeface="Gill Sans MT"/>
                  <a:cs typeface="Gill Sans MT"/>
                </a:defRPr>
              </a:pPr>
              <a:endParaRPr lang="en-US"/>
            </a:p>
          </c:txPr>
        </c:title>
        <c:numFmt formatCode="&quot;₹&quot;\ 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20135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0F1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[Practical_Exam.xlsx]Revenue Through Sales Channel!PivotTable6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'Revenue' by 'Sales_Channel'</a:t>
            </a:r>
          </a:p>
        </c:rich>
      </c:tx>
      <c:layout>
        <c:manualLayout>
          <c:xMode val="edge"/>
          <c:yMode val="edge"/>
          <c:x val="0.31731598767545355"/>
          <c:y val="3.60110803324099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/>
              <a:ea typeface="Gill Sans MT"/>
              <a:cs typeface="Gill Sans MT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ucida Sans"/>
                  <a:ea typeface="Lucida Sans"/>
                  <a:cs typeface="Lucida San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Through Sales Channel'!$B$3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BF-4721-B121-FA07F44B87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BF-4721-B121-FA07F44B87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BF-4721-B121-FA07F44B87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ucida Sans"/>
                    <a:ea typeface="Lucida Sans"/>
                    <a:cs typeface="Lucida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Through Sales Channel'!$A$4:$A$7</c:f>
              <c:strCache>
                <c:ptCount val="3"/>
                <c:pt idx="0">
                  <c:v>Online</c:v>
                </c:pt>
                <c:pt idx="1">
                  <c:v>Retail</c:v>
                </c:pt>
                <c:pt idx="2">
                  <c:v>Wholesale</c:v>
                </c:pt>
              </c:strCache>
            </c:strRef>
          </c:cat>
          <c:val>
            <c:numRef>
              <c:f>'Revenue Through Sales Channel'!$B$4:$B$7</c:f>
              <c:numCache>
                <c:formatCode>"₹"\ #,##0.0</c:formatCode>
                <c:ptCount val="3"/>
                <c:pt idx="0">
                  <c:v>81675</c:v>
                </c:pt>
                <c:pt idx="1">
                  <c:v>88825</c:v>
                </c:pt>
                <c:pt idx="2">
                  <c:v>65325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8E-4FBE-BFED-1BBF0286B6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0F1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8</xdr:col>
      <xdr:colOff>323850</xdr:colOff>
      <xdr:row>20</xdr:row>
      <xdr:rowOff>161925</xdr:rowOff>
    </xdr:to>
    <xdr:graphicFrame macro="">
      <xdr:nvGraphicFramePr>
        <xdr:cNvPr id="2" name="Chart 1" descr="Chart type: Clustered Column. 'Revenue' by 'Month'&#10;&#10;Description automatically generated">
          <a:extLst>
            <a:ext uri="{FF2B5EF4-FFF2-40B4-BE49-F238E27FC236}">
              <a16:creationId xmlns:a16="http://schemas.microsoft.com/office/drawing/2014/main" id="{7019D92F-69E2-40F0-8575-9ABFD7760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323850</xdr:colOff>
      <xdr:row>4</xdr:row>
      <xdr:rowOff>0</xdr:rowOff>
    </xdr:from>
    <xdr:to>
      <xdr:col>18</xdr:col>
      <xdr:colOff>0</xdr:colOff>
      <xdr:row>20</xdr:row>
      <xdr:rowOff>161925</xdr:rowOff>
    </xdr:to>
    <xdr:graphicFrame macro="">
      <xdr:nvGraphicFramePr>
        <xdr:cNvPr id="3" name="Chart 2" descr="Chart type: Clustered Column. 'Revenue' by 'Product'&#10;&#10;Description automatically generated">
          <a:extLst>
            <a:ext uri="{FF2B5EF4-FFF2-40B4-BE49-F238E27FC236}">
              <a16:creationId xmlns:a16="http://schemas.microsoft.com/office/drawing/2014/main" id="{51569CD5-ECFE-4A2F-84AD-E2B547E1BCB6}"/>
            </a:ext>
            <a:ext uri="{147F2762-F138-4A5C-976F-8EAC2B608ADB}">
              <a16:predDERef xmlns:a16="http://schemas.microsoft.com/office/drawing/2014/main" pred="{7019D92F-69E2-40F0-8575-9ABFD7760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171450</xdr:rowOff>
    </xdr:from>
    <xdr:to>
      <xdr:col>8</xdr:col>
      <xdr:colOff>323850</xdr:colOff>
      <xdr:row>37</xdr:row>
      <xdr:rowOff>0</xdr:rowOff>
    </xdr:to>
    <xdr:graphicFrame macro="">
      <xdr:nvGraphicFramePr>
        <xdr:cNvPr id="5" name="Chart 4" descr="Chart type: Pie. 'Revenue' by 'Region'&#10;&#10;Description automatically generated">
          <a:extLst>
            <a:ext uri="{FF2B5EF4-FFF2-40B4-BE49-F238E27FC236}">
              <a16:creationId xmlns:a16="http://schemas.microsoft.com/office/drawing/2014/main" id="{34B1D141-48BC-44FE-9EED-0332B3A5D9C3}"/>
            </a:ext>
            <a:ext uri="{147F2762-F138-4A5C-976F-8EAC2B608ADB}">
              <a16:predDERef xmlns:a16="http://schemas.microsoft.com/office/drawing/2014/main" pred="{51569CD5-ECFE-4A2F-84AD-E2B547E1B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323850</xdr:colOff>
      <xdr:row>20</xdr:row>
      <xdr:rowOff>171450</xdr:rowOff>
    </xdr:from>
    <xdr:to>
      <xdr:col>18</xdr:col>
      <xdr:colOff>0</xdr:colOff>
      <xdr:row>37</xdr:row>
      <xdr:rowOff>0</xdr:rowOff>
    </xdr:to>
    <xdr:graphicFrame macro="">
      <xdr:nvGraphicFramePr>
        <xdr:cNvPr id="6" name="Chart 5" descr="Chart type: Pie. 'Revenue' by 'Sales_Channel'&#10;&#10;Description automatically generated">
          <a:extLst>
            <a:ext uri="{FF2B5EF4-FFF2-40B4-BE49-F238E27FC236}">
              <a16:creationId xmlns:a16="http://schemas.microsoft.com/office/drawing/2014/main" id="{A4A294E1-7DEB-4CA7-B6D1-CBE62ED647B7}"/>
            </a:ext>
            <a:ext uri="{147F2762-F138-4A5C-976F-8EAC2B608ADB}">
              <a16:predDERef xmlns:a16="http://schemas.microsoft.com/office/drawing/2014/main" pred="{34B1D141-48BC-44FE-9EED-0332B3A5D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9525</xdr:colOff>
      <xdr:row>13</xdr:row>
      <xdr:rowOff>57150</xdr:rowOff>
    </xdr:from>
    <xdr:to>
      <xdr:col>27</xdr:col>
      <xdr:colOff>352425</xdr:colOff>
      <xdr:row>31</xdr:row>
      <xdr:rowOff>38100</xdr:rowOff>
    </xdr:to>
    <xdr:graphicFrame macro="">
      <xdr:nvGraphicFramePr>
        <xdr:cNvPr id="7" name="Chart 6" descr="Chart type: Clustered Column. 'Units_Sold' by 'Product'&#10;&#10;Description automatically generated">
          <a:extLst>
            <a:ext uri="{FF2B5EF4-FFF2-40B4-BE49-F238E27FC236}">
              <a16:creationId xmlns:a16="http://schemas.microsoft.com/office/drawing/2014/main" id="{688D5762-4330-48FE-A06D-8ED7DDEF238A}"/>
            </a:ext>
            <a:ext uri="{147F2762-F138-4A5C-976F-8EAC2B608ADB}">
              <a16:predDERef xmlns:a16="http://schemas.microsoft.com/office/drawing/2014/main" pred="{A4A294E1-7DEB-4CA7-B6D1-CBE62ED64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</xdr:row>
      <xdr:rowOff>0</xdr:rowOff>
    </xdr:from>
    <xdr:to>
      <xdr:col>10</xdr:col>
      <xdr:colOff>0</xdr:colOff>
      <xdr:row>18</xdr:row>
      <xdr:rowOff>161925</xdr:rowOff>
    </xdr:to>
    <xdr:graphicFrame macro="">
      <xdr:nvGraphicFramePr>
        <xdr:cNvPr id="2" name="Chart 1" descr="Chart type: Clustered Column. 'Revenue' by 'Month'&#10;&#10;Description automatically generated">
          <a:extLst>
            <a:ext uri="{FF2B5EF4-FFF2-40B4-BE49-F238E27FC236}">
              <a16:creationId xmlns:a16="http://schemas.microsoft.com/office/drawing/2014/main" id="{E401AFBA-99A0-25BB-CBCC-303CFD3A4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171450</xdr:rowOff>
    </xdr:from>
    <xdr:to>
      <xdr:col>10</xdr:col>
      <xdr:colOff>581025</xdr:colOff>
      <xdr:row>18</xdr:row>
      <xdr:rowOff>0</xdr:rowOff>
    </xdr:to>
    <xdr:graphicFrame macro="">
      <xdr:nvGraphicFramePr>
        <xdr:cNvPr id="2" name="Chart 1" descr="Chart type: Pie. 'Revenue' by 'Region'&#10;&#10;Description automatically generated">
          <a:extLst>
            <a:ext uri="{FF2B5EF4-FFF2-40B4-BE49-F238E27FC236}">
              <a16:creationId xmlns:a16="http://schemas.microsoft.com/office/drawing/2014/main" id="{9567C918-B293-9EE9-7289-8D4458D5F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0</xdr:rowOff>
    </xdr:from>
    <xdr:to>
      <xdr:col>11</xdr:col>
      <xdr:colOff>590550</xdr:colOff>
      <xdr:row>19</xdr:row>
      <xdr:rowOff>171450</xdr:rowOff>
    </xdr:to>
    <xdr:graphicFrame macro="">
      <xdr:nvGraphicFramePr>
        <xdr:cNvPr id="2" name="Chart 1" descr="Chart type: Clustered Column. 'Units_Sold' by 'Product'&#10;&#10;Description automatically generated">
          <a:extLst>
            <a:ext uri="{FF2B5EF4-FFF2-40B4-BE49-F238E27FC236}">
              <a16:creationId xmlns:a16="http://schemas.microsoft.com/office/drawing/2014/main" id="{877BB331-83D5-A162-ED45-ED5183DF4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180975</xdr:rowOff>
    </xdr:from>
    <xdr:to>
      <xdr:col>12</xdr:col>
      <xdr:colOff>590550</xdr:colOff>
      <xdr:row>19</xdr:row>
      <xdr:rowOff>171450</xdr:rowOff>
    </xdr:to>
    <xdr:graphicFrame macro="">
      <xdr:nvGraphicFramePr>
        <xdr:cNvPr id="2" name="Chart 1" descr="Chart type: Clustered Column. 'Revenue' by 'Product'&#10;&#10;Description automatically generated">
          <a:extLst>
            <a:ext uri="{FF2B5EF4-FFF2-40B4-BE49-F238E27FC236}">
              <a16:creationId xmlns:a16="http://schemas.microsoft.com/office/drawing/2014/main" id="{02AC7F91-7EB4-4BE9-139D-AC0F5476C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1</xdr:row>
      <xdr:rowOff>171450</xdr:rowOff>
    </xdr:from>
    <xdr:to>
      <xdr:col>10</xdr:col>
      <xdr:colOff>590550</xdr:colOff>
      <xdr:row>19</xdr:row>
      <xdr:rowOff>180975</xdr:rowOff>
    </xdr:to>
    <xdr:graphicFrame macro="">
      <xdr:nvGraphicFramePr>
        <xdr:cNvPr id="2" name="Chart 1" descr="Chart type: Pie. 'Revenue' by 'Sales_Channel'&#10;&#10;Description automatically generated">
          <a:extLst>
            <a:ext uri="{FF2B5EF4-FFF2-40B4-BE49-F238E27FC236}">
              <a16:creationId xmlns:a16="http://schemas.microsoft.com/office/drawing/2014/main" id="{7B6B2DEA-5CDF-BEFC-EA5A-8AD48C571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015.654511921297" createdVersion="8" refreshedVersion="8" minRefreshableVersion="3" recordCount="60">
  <cacheSource type="worksheet">
    <worksheetSource name="Table1"/>
  </cacheSource>
  <cacheFields count="10">
    <cacheField name="Date" numFmtId="14">
      <sharedItems containsSemiMixedTypes="0" containsNonDate="0" containsDate="1" containsString="0" minDate="2024-01-01T00:00:00" maxDate="2024-03-01T00:00:0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6">
        <s v="Laptop"/>
        <s v="Tablet"/>
        <s v="Smartphone"/>
        <s v="Monitor"/>
        <s v="Keyboard"/>
        <s v="Mouse"/>
      </sharedItems>
    </cacheField>
    <cacheField name="Units_Sold" numFmtId="1">
      <sharedItems containsSemiMixedTypes="0" containsString="0" containsNumber="1" containsInteger="1" minValue="4" maxValue="48"/>
    </cacheField>
    <cacheField name="Unit_Price" numFmtId="164">
      <sharedItems containsSemiMixedTypes="0" containsString="0" containsNumber="1" containsInteger="1" minValue="25" maxValue="900"/>
    </cacheField>
    <cacheField name="Dicount" numFmtId="10">
      <sharedItems containsSemiMixedTypes="0" containsString="0" containsNumber="1" minValue="0.05" maxValue="0.12"/>
    </cacheField>
    <cacheField name="Revenue" numFmtId="164">
      <sharedItems containsSemiMixedTypes="0" containsString="0" containsNumber="1" containsInteger="1" minValue="700" maxValue="12600"/>
    </cacheField>
    <cacheField name="Sales_Person" numFmtId="0">
      <sharedItems/>
    </cacheField>
    <cacheField name="Sales_Channel" numFmtId="0">
      <sharedItems count="3">
        <s v="Online"/>
        <s v="Retail"/>
        <s v="Wholesale"/>
      </sharedItems>
    </cacheField>
    <cacheField name="Month" numFmtId="0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d v="2024-01-01T00:00:00"/>
    <x v="0"/>
    <x v="0"/>
    <n v="5"/>
    <n v="900"/>
    <n v="0.1"/>
    <n v="4500"/>
    <s v="Alex"/>
    <x v="0"/>
    <x v="0"/>
  </r>
  <r>
    <d v="2024-01-02T00:00:00"/>
    <x v="1"/>
    <x v="1"/>
    <n v="8"/>
    <n v="400"/>
    <n v="0.08"/>
    <n v="3200"/>
    <s v="Bella"/>
    <x v="1"/>
    <x v="0"/>
  </r>
  <r>
    <d v="2024-01-03T00:00:00"/>
    <x v="2"/>
    <x v="2"/>
    <n v="12"/>
    <n v="700"/>
    <n v="0.12"/>
    <n v="8400"/>
    <s v="Chris"/>
    <x v="0"/>
    <x v="0"/>
  </r>
  <r>
    <d v="2024-01-04T00:00:00"/>
    <x v="3"/>
    <x v="3"/>
    <n v="10"/>
    <n v="250"/>
    <n v="7.0000000000000007E-2"/>
    <n v="2500"/>
    <s v="Diana"/>
    <x v="2"/>
    <x v="0"/>
  </r>
  <r>
    <d v="2024-01-05T00:00:00"/>
    <x v="0"/>
    <x v="4"/>
    <n v="20"/>
    <n v="50"/>
    <n v="0.05"/>
    <n v="1000"/>
    <s v="Alex"/>
    <x v="1"/>
    <x v="0"/>
  </r>
  <r>
    <d v="2024-01-06T00:00:00"/>
    <x v="1"/>
    <x v="5"/>
    <n v="30"/>
    <n v="25"/>
    <n v="0.05"/>
    <n v="750"/>
    <s v="Bella"/>
    <x v="0"/>
    <x v="0"/>
  </r>
  <r>
    <d v="2024-01-07T00:00:00"/>
    <x v="2"/>
    <x v="0"/>
    <n v="6"/>
    <n v="900"/>
    <n v="0.1"/>
    <n v="5400"/>
    <s v="Chris"/>
    <x v="2"/>
    <x v="0"/>
  </r>
  <r>
    <d v="2024-01-08T00:00:00"/>
    <x v="3"/>
    <x v="1"/>
    <n v="9"/>
    <n v="400"/>
    <n v="0.08"/>
    <n v="3600"/>
    <s v="Diana"/>
    <x v="1"/>
    <x v="0"/>
  </r>
  <r>
    <d v="2024-01-09T00:00:00"/>
    <x v="0"/>
    <x v="2"/>
    <n v="14"/>
    <n v="700"/>
    <n v="0.12"/>
    <n v="9800"/>
    <s v="Alex"/>
    <x v="0"/>
    <x v="0"/>
  </r>
  <r>
    <d v="2024-01-10T00:00:00"/>
    <x v="1"/>
    <x v="3"/>
    <n v="11"/>
    <n v="250"/>
    <n v="7.0000000000000007E-2"/>
    <n v="2750"/>
    <s v="Bella"/>
    <x v="2"/>
    <x v="0"/>
  </r>
  <r>
    <d v="2024-01-11T00:00:00"/>
    <x v="2"/>
    <x v="4"/>
    <n v="22"/>
    <n v="50"/>
    <n v="0.05"/>
    <n v="1100"/>
    <s v="Chris"/>
    <x v="1"/>
    <x v="0"/>
  </r>
  <r>
    <d v="2024-01-12T00:00:00"/>
    <x v="3"/>
    <x v="5"/>
    <n v="35"/>
    <n v="25"/>
    <n v="0.05"/>
    <n v="875"/>
    <s v="Diana"/>
    <x v="0"/>
    <x v="0"/>
  </r>
  <r>
    <d v="2024-01-13T00:00:00"/>
    <x v="0"/>
    <x v="0"/>
    <n v="4"/>
    <n v="900"/>
    <n v="0.1"/>
    <n v="3600"/>
    <s v="Alex"/>
    <x v="1"/>
    <x v="0"/>
  </r>
  <r>
    <d v="2024-01-14T00:00:00"/>
    <x v="1"/>
    <x v="1"/>
    <n v="7"/>
    <n v="400"/>
    <n v="0.08"/>
    <n v="2800"/>
    <s v="Bella"/>
    <x v="0"/>
    <x v="0"/>
  </r>
  <r>
    <d v="2024-01-15T00:00:00"/>
    <x v="2"/>
    <x v="2"/>
    <n v="10"/>
    <n v="700"/>
    <n v="0.12"/>
    <n v="7000"/>
    <s v="Chris"/>
    <x v="2"/>
    <x v="0"/>
  </r>
  <r>
    <d v="2024-01-16T00:00:00"/>
    <x v="3"/>
    <x v="3"/>
    <n v="12"/>
    <n v="250"/>
    <n v="7.0000000000000007E-2"/>
    <n v="3000"/>
    <s v="Diana"/>
    <x v="1"/>
    <x v="0"/>
  </r>
  <r>
    <d v="2024-01-17T00:00:00"/>
    <x v="0"/>
    <x v="4"/>
    <n v="25"/>
    <n v="50"/>
    <n v="0.05"/>
    <n v="1250"/>
    <s v="Alex"/>
    <x v="0"/>
    <x v="0"/>
  </r>
  <r>
    <d v="2024-01-18T00:00:00"/>
    <x v="1"/>
    <x v="5"/>
    <n v="40"/>
    <n v="25"/>
    <n v="0.05"/>
    <n v="1000"/>
    <s v="Bella"/>
    <x v="1"/>
    <x v="0"/>
  </r>
  <r>
    <d v="2024-01-19T00:00:00"/>
    <x v="2"/>
    <x v="0"/>
    <n v="8"/>
    <n v="900"/>
    <n v="0.1"/>
    <n v="7200"/>
    <s v="Chris"/>
    <x v="0"/>
    <x v="0"/>
  </r>
  <r>
    <d v="2024-01-20T00:00:00"/>
    <x v="3"/>
    <x v="1"/>
    <n v="6"/>
    <n v="400"/>
    <n v="0.08"/>
    <n v="2400"/>
    <s v="Diana"/>
    <x v="2"/>
    <x v="0"/>
  </r>
  <r>
    <d v="2024-01-21T00:00:00"/>
    <x v="0"/>
    <x v="2"/>
    <n v="15"/>
    <n v="700"/>
    <n v="0.12"/>
    <n v="10500"/>
    <s v="Alex"/>
    <x v="1"/>
    <x v="0"/>
  </r>
  <r>
    <d v="2024-01-22T00:00:00"/>
    <x v="1"/>
    <x v="3"/>
    <n v="9"/>
    <n v="250"/>
    <n v="7.0000000000000007E-2"/>
    <n v="2250"/>
    <s v="Bella"/>
    <x v="0"/>
    <x v="0"/>
  </r>
  <r>
    <d v="2024-01-23T00:00:00"/>
    <x v="2"/>
    <x v="4"/>
    <n v="18"/>
    <n v="50"/>
    <n v="0.05"/>
    <n v="900"/>
    <s v="Chris"/>
    <x v="2"/>
    <x v="0"/>
  </r>
  <r>
    <d v="2024-01-24T00:00:00"/>
    <x v="3"/>
    <x v="5"/>
    <n v="28"/>
    <n v="25"/>
    <n v="0.05"/>
    <n v="700"/>
    <s v="Diana"/>
    <x v="1"/>
    <x v="0"/>
  </r>
  <r>
    <d v="2024-01-25T00:00:00"/>
    <x v="0"/>
    <x v="0"/>
    <n v="7"/>
    <n v="900"/>
    <n v="0.1"/>
    <n v="6300"/>
    <s v="Alex"/>
    <x v="0"/>
    <x v="0"/>
  </r>
  <r>
    <d v="2024-01-26T00:00:00"/>
    <x v="1"/>
    <x v="1"/>
    <n v="10"/>
    <n v="400"/>
    <n v="0.08"/>
    <n v="4000"/>
    <s v="Bella"/>
    <x v="2"/>
    <x v="0"/>
  </r>
  <r>
    <d v="2024-01-27T00:00:00"/>
    <x v="2"/>
    <x v="2"/>
    <n v="13"/>
    <n v="700"/>
    <n v="0.12"/>
    <n v="9100"/>
    <s v="Chris"/>
    <x v="1"/>
    <x v="0"/>
  </r>
  <r>
    <d v="2024-01-28T00:00:00"/>
    <x v="3"/>
    <x v="3"/>
    <n v="14"/>
    <n v="250"/>
    <n v="7.0000000000000007E-2"/>
    <n v="3500"/>
    <s v="Diana"/>
    <x v="0"/>
    <x v="0"/>
  </r>
  <r>
    <d v="2024-01-29T00:00:00"/>
    <x v="0"/>
    <x v="4"/>
    <n v="30"/>
    <n v="50"/>
    <n v="0.05"/>
    <n v="1500"/>
    <s v="Alex"/>
    <x v="2"/>
    <x v="0"/>
  </r>
  <r>
    <d v="2024-01-30T00:00:00"/>
    <x v="1"/>
    <x v="5"/>
    <n v="45"/>
    <n v="25"/>
    <n v="0.05"/>
    <n v="1125"/>
    <s v="Bella"/>
    <x v="1"/>
    <x v="0"/>
  </r>
  <r>
    <d v="2024-01-31T00:00:00"/>
    <x v="2"/>
    <x v="0"/>
    <n v="5"/>
    <n v="900"/>
    <n v="0.1"/>
    <n v="4500"/>
    <s v="Chris"/>
    <x v="0"/>
    <x v="0"/>
  </r>
  <r>
    <d v="2024-02-01T00:00:00"/>
    <x v="3"/>
    <x v="1"/>
    <n v="8"/>
    <n v="400"/>
    <n v="0.08"/>
    <n v="3200"/>
    <s v="Diana"/>
    <x v="1"/>
    <x v="1"/>
  </r>
  <r>
    <d v="2024-02-02T00:00:00"/>
    <x v="0"/>
    <x v="2"/>
    <n v="11"/>
    <n v="700"/>
    <n v="0.12"/>
    <n v="7700"/>
    <s v="Alex"/>
    <x v="2"/>
    <x v="1"/>
  </r>
  <r>
    <d v="2024-02-03T00:00:00"/>
    <x v="1"/>
    <x v="3"/>
    <n v="10"/>
    <n v="250"/>
    <n v="7.0000000000000007E-2"/>
    <n v="2500"/>
    <s v="Bella"/>
    <x v="0"/>
    <x v="1"/>
  </r>
  <r>
    <d v="2024-02-04T00:00:00"/>
    <x v="2"/>
    <x v="4"/>
    <n v="20"/>
    <n v="50"/>
    <n v="0.05"/>
    <n v="1000"/>
    <s v="Chris"/>
    <x v="1"/>
    <x v="1"/>
  </r>
  <r>
    <d v="2024-02-05T00:00:00"/>
    <x v="3"/>
    <x v="5"/>
    <n v="33"/>
    <n v="25"/>
    <n v="0.05"/>
    <n v="825"/>
    <s v="Diana"/>
    <x v="2"/>
    <x v="1"/>
  </r>
  <r>
    <d v="2024-02-06T00:00:00"/>
    <x v="0"/>
    <x v="0"/>
    <n v="9"/>
    <n v="900"/>
    <n v="0.1"/>
    <n v="8100"/>
    <s v="Alex"/>
    <x v="1"/>
    <x v="1"/>
  </r>
  <r>
    <d v="2024-02-07T00:00:00"/>
    <x v="1"/>
    <x v="1"/>
    <n v="6"/>
    <n v="400"/>
    <n v="0.08"/>
    <n v="2400"/>
    <s v="Bella"/>
    <x v="0"/>
    <x v="1"/>
  </r>
  <r>
    <d v="2024-02-08T00:00:00"/>
    <x v="2"/>
    <x v="2"/>
    <n v="16"/>
    <n v="700"/>
    <n v="0.12"/>
    <n v="11200"/>
    <s v="Chris"/>
    <x v="1"/>
    <x v="1"/>
  </r>
  <r>
    <d v="2024-02-09T00:00:00"/>
    <x v="3"/>
    <x v="3"/>
    <n v="8"/>
    <n v="250"/>
    <n v="7.0000000000000007E-2"/>
    <n v="2000"/>
    <s v="Diana"/>
    <x v="2"/>
    <x v="1"/>
  </r>
  <r>
    <d v="2024-02-10T00:00:00"/>
    <x v="0"/>
    <x v="4"/>
    <n v="27"/>
    <n v="50"/>
    <n v="0.05"/>
    <n v="1350"/>
    <s v="Alex"/>
    <x v="0"/>
    <x v="1"/>
  </r>
  <r>
    <d v="2024-02-11T00:00:00"/>
    <x v="1"/>
    <x v="5"/>
    <n v="38"/>
    <n v="25"/>
    <n v="0.05"/>
    <n v="950"/>
    <s v="Bella"/>
    <x v="1"/>
    <x v="1"/>
  </r>
  <r>
    <d v="2024-02-12T00:00:00"/>
    <x v="2"/>
    <x v="0"/>
    <n v="6"/>
    <n v="900"/>
    <n v="0.1"/>
    <n v="5400"/>
    <s v="Chris"/>
    <x v="2"/>
    <x v="1"/>
  </r>
  <r>
    <d v="2024-02-13T00:00:00"/>
    <x v="3"/>
    <x v="1"/>
    <n v="9"/>
    <n v="400"/>
    <n v="0.08"/>
    <n v="3600"/>
    <s v="Diana"/>
    <x v="0"/>
    <x v="1"/>
  </r>
  <r>
    <d v="2024-02-14T00:00:00"/>
    <x v="0"/>
    <x v="2"/>
    <n v="18"/>
    <n v="700"/>
    <n v="0.12"/>
    <n v="12600"/>
    <s v="Alex"/>
    <x v="1"/>
    <x v="1"/>
  </r>
  <r>
    <d v="2024-02-15T00:00:00"/>
    <x v="1"/>
    <x v="3"/>
    <n v="13"/>
    <n v="250"/>
    <n v="7.0000000000000007E-2"/>
    <n v="3250"/>
    <s v="Bella"/>
    <x v="2"/>
    <x v="1"/>
  </r>
  <r>
    <d v="2024-02-16T00:00:00"/>
    <x v="2"/>
    <x v="4"/>
    <n v="21"/>
    <n v="50"/>
    <n v="0.05"/>
    <n v="1050"/>
    <s v="Chris"/>
    <x v="0"/>
    <x v="1"/>
  </r>
  <r>
    <d v="2024-02-17T00:00:00"/>
    <x v="3"/>
    <x v="5"/>
    <n v="42"/>
    <n v="25"/>
    <n v="0.05"/>
    <n v="1050"/>
    <s v="Diana"/>
    <x v="1"/>
    <x v="1"/>
  </r>
  <r>
    <d v="2024-02-18T00:00:00"/>
    <x v="0"/>
    <x v="0"/>
    <n v="10"/>
    <n v="900"/>
    <n v="0.1"/>
    <n v="9000"/>
    <s v="Alex"/>
    <x v="2"/>
    <x v="1"/>
  </r>
  <r>
    <d v="2024-02-19T00:00:00"/>
    <x v="1"/>
    <x v="1"/>
    <n v="11"/>
    <n v="400"/>
    <n v="0.08"/>
    <n v="4400"/>
    <s v="Bella"/>
    <x v="0"/>
    <x v="1"/>
  </r>
  <r>
    <d v="2024-02-20T00:00:00"/>
    <x v="2"/>
    <x v="2"/>
    <n v="9"/>
    <n v="700"/>
    <n v="0.12"/>
    <n v="6300"/>
    <s v="Chris"/>
    <x v="1"/>
    <x v="1"/>
  </r>
  <r>
    <d v="2024-02-21T00:00:00"/>
    <x v="3"/>
    <x v="3"/>
    <n v="15"/>
    <n v="250"/>
    <n v="7.0000000000000007E-2"/>
    <n v="3750"/>
    <s v="Diana"/>
    <x v="0"/>
    <x v="1"/>
  </r>
  <r>
    <d v="2024-02-22T00:00:00"/>
    <x v="0"/>
    <x v="4"/>
    <n v="24"/>
    <n v="50"/>
    <n v="0.05"/>
    <n v="1200"/>
    <s v="Alex"/>
    <x v="1"/>
    <x v="1"/>
  </r>
  <r>
    <d v="2024-02-23T00:00:00"/>
    <x v="1"/>
    <x v="5"/>
    <n v="36"/>
    <n v="25"/>
    <n v="0.05"/>
    <n v="900"/>
    <s v="Bella"/>
    <x v="2"/>
    <x v="1"/>
  </r>
  <r>
    <d v="2024-02-24T00:00:00"/>
    <x v="2"/>
    <x v="0"/>
    <n v="7"/>
    <n v="900"/>
    <n v="0.1"/>
    <n v="6300"/>
    <s v="Chris"/>
    <x v="0"/>
    <x v="1"/>
  </r>
  <r>
    <d v="2024-02-25T00:00:00"/>
    <x v="3"/>
    <x v="1"/>
    <n v="10"/>
    <n v="400"/>
    <n v="0.08"/>
    <n v="4000"/>
    <s v="Diana"/>
    <x v="1"/>
    <x v="1"/>
  </r>
  <r>
    <d v="2024-02-26T00:00:00"/>
    <x v="0"/>
    <x v="2"/>
    <n v="14"/>
    <n v="700"/>
    <n v="0.12"/>
    <n v="9800"/>
    <s v="Alex"/>
    <x v="2"/>
    <x v="1"/>
  </r>
  <r>
    <d v="2024-02-27T00:00:00"/>
    <x v="1"/>
    <x v="3"/>
    <n v="12"/>
    <n v="250"/>
    <n v="7.0000000000000007E-2"/>
    <n v="3000"/>
    <s v="Bella"/>
    <x v="0"/>
    <x v="1"/>
  </r>
  <r>
    <d v="2024-02-28T00:00:00"/>
    <x v="2"/>
    <x v="4"/>
    <n v="26"/>
    <n v="50"/>
    <n v="0.05"/>
    <n v="1300"/>
    <s v="Chris"/>
    <x v="1"/>
    <x v="1"/>
  </r>
  <r>
    <d v="2024-02-29T00:00:00"/>
    <x v="3"/>
    <x v="5"/>
    <n v="48"/>
    <n v="25"/>
    <n v="0.05"/>
    <n v="1200"/>
    <s v="Diana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T6:U13" firstHeaderRow="1" firstDataRow="1" firstDataCol="1"/>
  <pivotFields count="10">
    <pivotField compact="0" numFmtId="14" outline="0" showAll="0"/>
    <pivotField compact="0" outline="0" showAll="0"/>
    <pivotField axis="axisRow" compact="0" outline="0" showAll="0">
      <items count="7">
        <item x="4"/>
        <item x="0"/>
        <item x="3"/>
        <item x="5"/>
        <item x="2"/>
        <item x="1"/>
        <item t="default"/>
      </items>
    </pivotField>
    <pivotField compact="0" numFmtId="1" outline="0" showAll="0"/>
    <pivotField compact="0" numFmtId="164" outline="0" showAll="0"/>
    <pivotField compact="0" numFmtId="10" outline="0" showAll="0"/>
    <pivotField dataField="1" compact="0" numFmtId="164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6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numFmtId="1" outline="0" showAll="0"/>
    <pivotField compact="0" numFmtId="164" outline="0" showAll="0"/>
    <pivotField compact="0" numFmtId="10" outline="0" showAll="0"/>
    <pivotField dataField="1" compact="0" numFmtId="164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Revenue" fld="6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0">
    <pivotField compact="0" numFmtId="14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numFmtId="1" outline="0" showAll="0"/>
    <pivotField compact="0" numFmtId="164" outline="0" showAll="0"/>
    <pivotField compact="0" numFmtId="10" outline="0" showAll="0"/>
    <pivotField dataField="1" compact="0" numFmtId="164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 numFmtId="164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10" firstHeaderRow="1" firstDataRow="1" firstDataCol="1"/>
  <pivotFields count="10">
    <pivotField compact="0" numFmtId="14" outline="0" showAll="0"/>
    <pivotField compact="0" outline="0" showAll="0"/>
    <pivotField axis="axisRow" compact="0" outline="0" showAll="0">
      <items count="7">
        <item x="4"/>
        <item x="0"/>
        <item x="3"/>
        <item x="5"/>
        <item x="2"/>
        <item x="1"/>
        <item t="default"/>
      </items>
    </pivotField>
    <pivotField dataField="1" compact="0" numFmtId="1" outline="0" showAll="0"/>
    <pivotField compact="0" numFmtId="164" outline="0" showAll="0"/>
    <pivotField compact="0" numFmtId="1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_Sold" fld="3" baseField="0" baseItem="0" numFmtId="1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10">
    <pivotField compact="0" numFmtId="14" outline="0" showAll="0"/>
    <pivotField compact="0" outline="0" showAll="0"/>
    <pivotField axis="axisRow" compact="0" outline="0" showAll="0">
      <items count="7">
        <item x="4"/>
        <item x="0"/>
        <item x="3"/>
        <item x="5"/>
        <item x="2"/>
        <item x="1"/>
        <item t="default"/>
      </items>
    </pivotField>
    <pivotField compact="0" numFmtId="1" outline="0" showAll="0"/>
    <pivotField compact="0" numFmtId="164" outline="0" showAll="0"/>
    <pivotField compact="0" numFmtId="10" outline="0" showAll="0"/>
    <pivotField dataField="1" compact="0" numFmtId="164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6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numFmtId="1" outline="0" showAll="0"/>
    <pivotField compact="0" numFmtId="164" outline="0" showAll="0"/>
    <pivotField compact="0" numFmtId="10" outline="0" showAll="0"/>
    <pivotField dataField="1" compact="0" numFmtId="164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6" baseField="0" baseItem="0" numFmtId="164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J61" totalsRowShown="0" headerRowDxfId="14" dataDxfId="12" headerRowBorderDxfId="13" tableBorderDxfId="11" totalsRowBorderDxfId="10">
  <autoFilter ref="A1:J61"/>
  <tableColumns count="10">
    <tableColumn id="1" name="Date" dataDxfId="9"/>
    <tableColumn id="2" name="Region" dataDxfId="8"/>
    <tableColumn id="3" name="Product" dataDxfId="7"/>
    <tableColumn id="4" name="Units_Sold" dataDxfId="6"/>
    <tableColumn id="5" name="Unit_Price" dataDxfId="5"/>
    <tableColumn id="9" name="Dicount" dataDxfId="4">
      <calculatedColumnFormula>IF(C2="Laptop",10%,
IF(C2="Tablet",8%,
IF(C2="Smartphone",12%,
IF(C2="Monitor",7%,
IF(C2="Keyboard",5%,
IF(C2="Mouse",5%,0))))))</calculatedColumnFormula>
    </tableColumn>
    <tableColumn id="6" name="Revenue" dataDxfId="3"/>
    <tableColumn id="7" name="Sales_Person" dataDxfId="2"/>
    <tableColumn id="8" name="Sales_Channel" dataDxfId="1"/>
    <tableColumn id="12" name="Month" dataDxfId="0">
      <calculatedColumnFormula>MONTH(A2)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"/>
  <sheetViews>
    <sheetView showGridLines="0" tabSelected="1" zoomScale="60" zoomScaleNormal="60" workbookViewId="0">
      <selection activeCell="U37" sqref="U37"/>
    </sheetView>
  </sheetViews>
  <sheetFormatPr defaultRowHeight="14.25"/>
  <cols>
    <col min="20" max="20" width="11.375" bestFit="1" customWidth="1"/>
    <col min="21" max="21" width="19.5" bestFit="1" customWidth="1"/>
  </cols>
  <sheetData>
    <row r="1" spans="1:29" ht="15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 spans="1:29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</row>
    <row r="3" spans="1:29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</row>
    <row r="4" spans="1:29">
      <c r="A4" s="44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</row>
    <row r="5" spans="1:29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</row>
    <row r="6" spans="1:29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1" t="s">
        <v>1</v>
      </c>
      <c r="U6" t="s">
        <v>2</v>
      </c>
      <c r="V6" s="43"/>
      <c r="W6" s="43"/>
      <c r="X6" s="43"/>
      <c r="Y6" s="43"/>
      <c r="Z6" s="43"/>
      <c r="AA6" s="43"/>
      <c r="AB6" s="43"/>
      <c r="AC6" s="43"/>
    </row>
    <row r="7" spans="1:29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t="s">
        <v>3</v>
      </c>
      <c r="U7" s="30">
        <v>11650</v>
      </c>
      <c r="V7" s="43"/>
      <c r="W7" s="43"/>
      <c r="X7" s="43"/>
      <c r="Y7" s="43"/>
      <c r="Z7" s="43"/>
      <c r="AA7" s="43"/>
      <c r="AB7" s="43"/>
      <c r="AC7" s="43"/>
    </row>
    <row r="8" spans="1:29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t="s">
        <v>4</v>
      </c>
      <c r="U8" s="30">
        <v>60300</v>
      </c>
      <c r="V8" s="43"/>
      <c r="W8" s="43"/>
      <c r="X8" s="43"/>
      <c r="Y8" s="43"/>
      <c r="Z8" s="43"/>
      <c r="AA8" s="43"/>
      <c r="AB8" s="43"/>
      <c r="AC8" s="43"/>
    </row>
    <row r="9" spans="1:29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t="s">
        <v>5</v>
      </c>
      <c r="U9" s="30">
        <v>28500</v>
      </c>
      <c r="V9" s="43"/>
      <c r="W9" s="43"/>
      <c r="X9" s="43"/>
      <c r="Y9" s="43"/>
      <c r="Z9" s="43"/>
      <c r="AA9" s="43"/>
      <c r="AB9" s="43"/>
      <c r="AC9" s="43"/>
    </row>
    <row r="10" spans="1:29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t="s">
        <v>6</v>
      </c>
      <c r="U10" s="30">
        <v>9375</v>
      </c>
      <c r="V10" s="43"/>
      <c r="W10" s="43"/>
      <c r="X10" s="43"/>
      <c r="Y10" s="43"/>
      <c r="Z10" s="43"/>
      <c r="AA10" s="43"/>
      <c r="AB10" s="43"/>
      <c r="AC10" s="43"/>
    </row>
    <row r="11" spans="1:29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t="s">
        <v>7</v>
      </c>
      <c r="U11" s="30">
        <v>92400</v>
      </c>
      <c r="V11" s="43"/>
      <c r="W11" s="43"/>
      <c r="X11" s="43"/>
      <c r="Y11" s="43"/>
      <c r="Z11" s="43"/>
      <c r="AA11" s="43"/>
      <c r="AB11" s="43"/>
      <c r="AC11" s="43"/>
    </row>
    <row r="12" spans="1:29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t="s">
        <v>8</v>
      </c>
      <c r="U12" s="30">
        <v>33600</v>
      </c>
      <c r="V12" s="43"/>
      <c r="W12" s="43"/>
      <c r="X12" s="43"/>
      <c r="Y12" s="43"/>
      <c r="Z12" s="43"/>
      <c r="AA12" s="43"/>
      <c r="AB12" s="43"/>
      <c r="AC12" s="43"/>
    </row>
    <row r="13" spans="1:29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t="s">
        <v>9</v>
      </c>
      <c r="U13" s="30">
        <v>235825</v>
      </c>
      <c r="V13" s="43"/>
      <c r="W13" s="43"/>
      <c r="X13" s="43"/>
      <c r="Y13" s="43"/>
      <c r="Z13" s="43"/>
      <c r="AA13" s="43"/>
      <c r="AB13" s="43"/>
      <c r="AC13" s="43"/>
    </row>
    <row r="14" spans="1:29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</row>
    <row r="15" spans="1:29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</row>
    <row r="16" spans="1:29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</row>
    <row r="17" spans="1:29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</row>
    <row r="18" spans="1:29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</row>
    <row r="19" spans="1:29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 spans="1:29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</row>
    <row r="21" spans="1:29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</row>
    <row r="22" spans="1:29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</row>
    <row r="23" spans="1:29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</row>
    <row r="24" spans="1:29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</row>
    <row r="25" spans="1:29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</row>
    <row r="26" spans="1:29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</row>
    <row r="27" spans="1:29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</row>
    <row r="28" spans="1:29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</row>
    <row r="29" spans="1:29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</row>
    <row r="30" spans="1:29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</row>
    <row r="31" spans="1:29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</row>
    <row r="32" spans="1:29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</row>
    <row r="33" spans="1:29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</row>
    <row r="34" spans="1:29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</row>
    <row r="35" spans="1:29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</row>
    <row r="36" spans="1:29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</row>
    <row r="37" spans="1:29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</row>
    <row r="38" spans="1:29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</row>
    <row r="39" spans="1:29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</row>
    <row r="40" spans="1:29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</row>
  </sheetData>
  <mergeCells count="1">
    <mergeCell ref="A1:AC4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C30" sqref="C30"/>
    </sheetView>
  </sheetViews>
  <sheetFormatPr defaultRowHeight="14.25"/>
  <cols>
    <col min="1" max="1" width="11.125" bestFit="1" customWidth="1"/>
    <col min="2" max="2" width="15" bestFit="1" customWidth="1"/>
    <col min="3" max="4" width="11.75" bestFit="1" customWidth="1"/>
  </cols>
  <sheetData>
    <row r="3" spans="1:2">
      <c r="A3" s="41" t="s">
        <v>10</v>
      </c>
      <c r="B3" t="s">
        <v>2</v>
      </c>
    </row>
    <row r="4" spans="1:2">
      <c r="A4">
        <v>1</v>
      </c>
      <c r="B4" s="30">
        <v>116500</v>
      </c>
    </row>
    <row r="5" spans="1:2">
      <c r="A5">
        <v>2</v>
      </c>
      <c r="B5" s="30">
        <v>119325</v>
      </c>
    </row>
    <row r="6" spans="1:2">
      <c r="A6" t="s">
        <v>9</v>
      </c>
      <c r="B6" s="30">
        <v>235825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M6" sqref="M6"/>
    </sheetView>
  </sheetViews>
  <sheetFormatPr defaultRowHeight="14.25"/>
  <cols>
    <col min="1" max="1" width="11.125" bestFit="1" customWidth="1"/>
    <col min="2" max="2" width="15" bestFit="1" customWidth="1"/>
  </cols>
  <sheetData>
    <row r="3" spans="1:2">
      <c r="A3" s="41" t="s">
        <v>11</v>
      </c>
      <c r="B3" t="s">
        <v>2</v>
      </c>
    </row>
    <row r="4" spans="1:2">
      <c r="A4" t="s">
        <v>12</v>
      </c>
      <c r="B4" s="30">
        <v>76150</v>
      </c>
    </row>
    <row r="5" spans="1:2">
      <c r="A5" t="s">
        <v>13</v>
      </c>
      <c r="B5" s="30">
        <v>88200</v>
      </c>
    </row>
    <row r="6" spans="1:2">
      <c r="A6" t="s">
        <v>14</v>
      </c>
      <c r="B6" s="30">
        <v>35275</v>
      </c>
    </row>
    <row r="7" spans="1:2">
      <c r="A7" t="s">
        <v>15</v>
      </c>
      <c r="B7" s="30">
        <v>36200</v>
      </c>
    </row>
    <row r="8" spans="1:2">
      <c r="A8" t="s">
        <v>9</v>
      </c>
      <c r="B8" s="30">
        <v>235825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N8" sqref="N8"/>
    </sheetView>
  </sheetViews>
  <sheetFormatPr defaultRowHeight="14.25"/>
  <cols>
    <col min="1" max="1" width="11.375" bestFit="1" customWidth="1"/>
    <col min="2" max="2" width="16.875" bestFit="1" customWidth="1"/>
  </cols>
  <sheetData>
    <row r="3" spans="1:2">
      <c r="A3" s="41" t="s">
        <v>1</v>
      </c>
      <c r="B3" t="s">
        <v>16</v>
      </c>
    </row>
    <row r="4" spans="1:2">
      <c r="A4" t="s">
        <v>3</v>
      </c>
      <c r="B4" s="26">
        <v>233</v>
      </c>
    </row>
    <row r="5" spans="1:2">
      <c r="A5" t="s">
        <v>4</v>
      </c>
      <c r="B5" s="26">
        <v>67</v>
      </c>
    </row>
    <row r="6" spans="1:2">
      <c r="A6" t="s">
        <v>5</v>
      </c>
      <c r="B6" s="26">
        <v>114</v>
      </c>
    </row>
    <row r="7" spans="1:2">
      <c r="A7" t="s">
        <v>6</v>
      </c>
      <c r="B7" s="26">
        <v>375</v>
      </c>
    </row>
    <row r="8" spans="1:2">
      <c r="A8" t="s">
        <v>7</v>
      </c>
      <c r="B8" s="26">
        <v>132</v>
      </c>
    </row>
    <row r="9" spans="1:2">
      <c r="A9" t="s">
        <v>8</v>
      </c>
      <c r="B9" s="26">
        <v>84</v>
      </c>
    </row>
    <row r="10" spans="1:2">
      <c r="A10" t="s">
        <v>9</v>
      </c>
      <c r="B10" s="26">
        <v>1005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3" sqref="A3:B10"/>
    </sheetView>
  </sheetViews>
  <sheetFormatPr defaultRowHeight="14.25"/>
  <cols>
    <col min="1" max="1" width="11.375" bestFit="1" customWidth="1"/>
    <col min="2" max="2" width="15" bestFit="1" customWidth="1"/>
  </cols>
  <sheetData>
    <row r="3" spans="1:2">
      <c r="A3" s="41" t="s">
        <v>1</v>
      </c>
      <c r="B3" t="s">
        <v>2</v>
      </c>
    </row>
    <row r="4" spans="1:2">
      <c r="A4" t="s">
        <v>3</v>
      </c>
      <c r="B4" s="30">
        <v>11650</v>
      </c>
    </row>
    <row r="5" spans="1:2">
      <c r="A5" t="s">
        <v>4</v>
      </c>
      <c r="B5" s="30">
        <v>60300</v>
      </c>
    </row>
    <row r="6" spans="1:2">
      <c r="A6" t="s">
        <v>5</v>
      </c>
      <c r="B6" s="30">
        <v>28500</v>
      </c>
    </row>
    <row r="7" spans="1:2">
      <c r="A7" t="s">
        <v>6</v>
      </c>
      <c r="B7" s="30">
        <v>9375</v>
      </c>
    </row>
    <row r="8" spans="1:2">
      <c r="A8" t="s">
        <v>7</v>
      </c>
      <c r="B8" s="30">
        <v>92400</v>
      </c>
    </row>
    <row r="9" spans="1:2">
      <c r="A9" t="s">
        <v>8</v>
      </c>
      <c r="B9" s="30">
        <v>33600</v>
      </c>
    </row>
    <row r="10" spans="1:2">
      <c r="A10" t="s">
        <v>9</v>
      </c>
      <c r="B10" s="30">
        <v>235825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S13" sqref="S13"/>
    </sheetView>
  </sheetViews>
  <sheetFormatPr defaultRowHeight="14.25"/>
  <cols>
    <col min="1" max="1" width="17.125" bestFit="1" customWidth="1"/>
    <col min="2" max="2" width="15" bestFit="1" customWidth="1"/>
  </cols>
  <sheetData>
    <row r="3" spans="1:2">
      <c r="A3" s="41" t="s">
        <v>17</v>
      </c>
      <c r="B3" t="s">
        <v>2</v>
      </c>
    </row>
    <row r="4" spans="1:2">
      <c r="A4" t="s">
        <v>18</v>
      </c>
      <c r="B4" s="30">
        <v>81675</v>
      </c>
    </row>
    <row r="5" spans="1:2">
      <c r="A5" t="s">
        <v>19</v>
      </c>
      <c r="B5" s="30">
        <v>88825</v>
      </c>
    </row>
    <row r="6" spans="1:2">
      <c r="A6" t="s">
        <v>20</v>
      </c>
      <c r="B6" s="30">
        <v>65325</v>
      </c>
    </row>
    <row r="7" spans="1:2">
      <c r="A7" t="s">
        <v>9</v>
      </c>
      <c r="B7" s="30">
        <v>235825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workbookViewId="0">
      <selection activeCell="D18" sqref="D18"/>
    </sheetView>
  </sheetViews>
  <sheetFormatPr defaultColWidth="29.125" defaultRowHeight="25.5" customHeight="1"/>
  <cols>
    <col min="1" max="1" width="36.625" style="22" bestFit="1" customWidth="1"/>
    <col min="4" max="4" width="29.125" style="26"/>
    <col min="5" max="5" width="29.125" style="30"/>
    <col min="6" max="6" width="29.125" style="34"/>
    <col min="7" max="7" width="29.125" style="30"/>
    <col min="11" max="11" width="36.625" style="22" bestFit="1" customWidth="1"/>
  </cols>
  <sheetData>
    <row r="1" spans="1:20" ht="25.5" customHeight="1">
      <c r="A1" s="21" t="s">
        <v>21</v>
      </c>
      <c r="B1" s="3" t="s">
        <v>11</v>
      </c>
      <c r="C1" s="3" t="s">
        <v>1</v>
      </c>
      <c r="D1" s="23" t="s">
        <v>22</v>
      </c>
      <c r="E1" s="27" t="s">
        <v>23</v>
      </c>
      <c r="F1" s="31" t="s">
        <v>24</v>
      </c>
      <c r="G1" s="27" t="s">
        <v>25</v>
      </c>
      <c r="H1" s="3" t="s">
        <v>26</v>
      </c>
      <c r="I1" s="4" t="s">
        <v>17</v>
      </c>
      <c r="J1" s="42" t="s">
        <v>10</v>
      </c>
      <c r="K1" s="46" t="s">
        <v>27</v>
      </c>
      <c r="L1" s="47"/>
      <c r="M1" s="47"/>
      <c r="N1" s="47"/>
      <c r="O1" s="47"/>
      <c r="P1" s="47"/>
      <c r="Q1" s="47"/>
      <c r="R1" s="47"/>
      <c r="S1" s="47"/>
      <c r="T1" s="47"/>
    </row>
    <row r="2" spans="1:20" ht="25.5" customHeight="1">
      <c r="A2" s="5">
        <v>45292</v>
      </c>
      <c r="B2" s="6" t="s">
        <v>13</v>
      </c>
      <c r="C2" s="6" t="s">
        <v>4</v>
      </c>
      <c r="D2" s="24">
        <v>5</v>
      </c>
      <c r="E2" s="28">
        <v>900</v>
      </c>
      <c r="F2" s="32">
        <f t="shared" ref="F2:F33" si="0">IF(C2="Laptop",10%,
IF(C2="Tablet",8%,
IF(C2="Smartphone",12%,
IF(C2="Monitor",7%,
IF(C2="Keyboard",5%,
IF(C2="Mouse",5%,0))))))</f>
        <v>0.1</v>
      </c>
      <c r="G2" s="28">
        <v>4500</v>
      </c>
      <c r="H2" s="6" t="s">
        <v>28</v>
      </c>
      <c r="I2" s="7" t="s">
        <v>18</v>
      </c>
      <c r="J2" s="6">
        <f t="shared" ref="J2:J33" si="1">MONTH(A2)</f>
        <v>1</v>
      </c>
      <c r="K2" s="46"/>
      <c r="L2" s="47"/>
      <c r="M2" s="47"/>
      <c r="N2" s="47"/>
      <c r="O2" s="47"/>
      <c r="P2" s="47"/>
      <c r="Q2" s="47"/>
      <c r="R2" s="47"/>
      <c r="S2" s="47"/>
      <c r="T2" s="47"/>
    </row>
    <row r="3" spans="1:20" ht="25.5" customHeight="1">
      <c r="A3" s="5">
        <v>45293</v>
      </c>
      <c r="B3" s="6" t="s">
        <v>14</v>
      </c>
      <c r="C3" s="6" t="s">
        <v>8</v>
      </c>
      <c r="D3" s="24">
        <v>8</v>
      </c>
      <c r="E3" s="28">
        <v>400</v>
      </c>
      <c r="F3" s="32">
        <f t="shared" si="0"/>
        <v>0.08</v>
      </c>
      <c r="G3" s="28">
        <v>3200</v>
      </c>
      <c r="H3" s="6" t="s">
        <v>29</v>
      </c>
      <c r="I3" s="7" t="s">
        <v>19</v>
      </c>
      <c r="J3" s="6">
        <f t="shared" si="1"/>
        <v>1</v>
      </c>
      <c r="K3" s="46"/>
      <c r="L3" s="47"/>
      <c r="M3" s="47"/>
      <c r="N3" s="47"/>
      <c r="O3" s="47"/>
      <c r="P3" s="47"/>
      <c r="Q3" s="47"/>
      <c r="R3" s="47"/>
      <c r="S3" s="47"/>
      <c r="T3" s="47"/>
    </row>
    <row r="4" spans="1:20" ht="25.5" customHeight="1">
      <c r="A4" s="5">
        <v>45294</v>
      </c>
      <c r="B4" s="6" t="s">
        <v>12</v>
      </c>
      <c r="C4" s="6" t="s">
        <v>7</v>
      </c>
      <c r="D4" s="24">
        <v>12</v>
      </c>
      <c r="E4" s="28">
        <v>700</v>
      </c>
      <c r="F4" s="32">
        <f t="shared" si="0"/>
        <v>0.12</v>
      </c>
      <c r="G4" s="28">
        <v>8400</v>
      </c>
      <c r="H4" s="6" t="s">
        <v>30</v>
      </c>
      <c r="I4" s="7" t="s">
        <v>18</v>
      </c>
      <c r="J4" s="6">
        <f t="shared" si="1"/>
        <v>1</v>
      </c>
      <c r="K4" s="2" cm="1">
        <f t="array" ref="K4:T13">_xlfn._xlws.FILTER(Table1[],Table1[Product]="Mouse","Not found")</f>
        <v>45297</v>
      </c>
      <c r="L4" s="1" t="str">
        <v>South</v>
      </c>
      <c r="M4" s="1" t="str">
        <v>Mouse</v>
      </c>
      <c r="N4" s="1">
        <v>30</v>
      </c>
      <c r="O4" s="1">
        <v>25</v>
      </c>
      <c r="P4" s="1">
        <v>0.05</v>
      </c>
      <c r="Q4" s="1">
        <v>750</v>
      </c>
      <c r="R4" s="1" t="str">
        <v>Bella</v>
      </c>
      <c r="S4" s="1" t="str">
        <v>Online</v>
      </c>
      <c r="T4">
        <v>1</v>
      </c>
    </row>
    <row r="5" spans="1:20" ht="25.5" customHeight="1">
      <c r="A5" s="5">
        <v>45295</v>
      </c>
      <c r="B5" s="6" t="s">
        <v>15</v>
      </c>
      <c r="C5" s="6" t="s">
        <v>5</v>
      </c>
      <c r="D5" s="24">
        <v>10</v>
      </c>
      <c r="E5" s="28">
        <v>250</v>
      </c>
      <c r="F5" s="32">
        <f t="shared" si="0"/>
        <v>7.0000000000000007E-2</v>
      </c>
      <c r="G5" s="28">
        <v>2500</v>
      </c>
      <c r="H5" s="6" t="s">
        <v>31</v>
      </c>
      <c r="I5" s="7" t="s">
        <v>20</v>
      </c>
      <c r="J5" s="6">
        <f t="shared" si="1"/>
        <v>1</v>
      </c>
      <c r="K5" s="40">
        <v>45303</v>
      </c>
      <c r="L5" s="1" t="str">
        <v>West</v>
      </c>
      <c r="M5" s="1" t="str">
        <v>Mouse</v>
      </c>
      <c r="N5" s="1">
        <v>35</v>
      </c>
      <c r="O5" s="1">
        <v>25</v>
      </c>
      <c r="P5" s="1">
        <v>0.05</v>
      </c>
      <c r="Q5" s="1">
        <v>875</v>
      </c>
      <c r="R5" s="1" t="str">
        <v>Diana</v>
      </c>
      <c r="S5" s="1" t="str">
        <v>Online</v>
      </c>
      <c r="T5">
        <v>1</v>
      </c>
    </row>
    <row r="6" spans="1:20" ht="25.5" customHeight="1">
      <c r="A6" s="5">
        <v>45296</v>
      </c>
      <c r="B6" s="6" t="s">
        <v>13</v>
      </c>
      <c r="C6" s="6" t="s">
        <v>3</v>
      </c>
      <c r="D6" s="24">
        <v>20</v>
      </c>
      <c r="E6" s="28">
        <v>50</v>
      </c>
      <c r="F6" s="32">
        <f t="shared" si="0"/>
        <v>0.05</v>
      </c>
      <c r="G6" s="28">
        <v>1000</v>
      </c>
      <c r="H6" s="6" t="s">
        <v>28</v>
      </c>
      <c r="I6" s="7" t="s">
        <v>19</v>
      </c>
      <c r="J6" s="6">
        <f t="shared" si="1"/>
        <v>1</v>
      </c>
      <c r="K6" s="40">
        <v>45309</v>
      </c>
      <c r="L6" s="1" t="str">
        <v>South</v>
      </c>
      <c r="M6" s="1" t="str">
        <v>Mouse</v>
      </c>
      <c r="N6" s="1">
        <v>40</v>
      </c>
      <c r="O6" s="1">
        <v>25</v>
      </c>
      <c r="P6" s="1">
        <v>0.05</v>
      </c>
      <c r="Q6" s="1">
        <v>1000</v>
      </c>
      <c r="R6" s="1" t="str">
        <v>Bella</v>
      </c>
      <c r="S6" s="1" t="str">
        <v>Retail</v>
      </c>
      <c r="T6">
        <v>1</v>
      </c>
    </row>
    <row r="7" spans="1:20" ht="25.5" customHeight="1">
      <c r="A7" s="5">
        <v>45297</v>
      </c>
      <c r="B7" s="6" t="s">
        <v>14</v>
      </c>
      <c r="C7" s="6" t="s">
        <v>6</v>
      </c>
      <c r="D7" s="24">
        <v>30</v>
      </c>
      <c r="E7" s="28">
        <v>25</v>
      </c>
      <c r="F7" s="32">
        <f t="shared" si="0"/>
        <v>0.05</v>
      </c>
      <c r="G7" s="28">
        <v>750</v>
      </c>
      <c r="H7" s="6" t="s">
        <v>29</v>
      </c>
      <c r="I7" s="7" t="s">
        <v>18</v>
      </c>
      <c r="J7" s="6">
        <f t="shared" si="1"/>
        <v>1</v>
      </c>
      <c r="K7" s="40">
        <v>45315</v>
      </c>
      <c r="L7" s="1" t="str">
        <v>West</v>
      </c>
      <c r="M7" s="1" t="str">
        <v>Mouse</v>
      </c>
      <c r="N7" s="1">
        <v>28</v>
      </c>
      <c r="O7" s="1">
        <v>25</v>
      </c>
      <c r="P7" s="1">
        <v>0.05</v>
      </c>
      <c r="Q7" s="1">
        <v>700</v>
      </c>
      <c r="R7" s="1" t="str">
        <v>Diana</v>
      </c>
      <c r="S7" s="1" t="str">
        <v>Retail</v>
      </c>
      <c r="T7">
        <v>1</v>
      </c>
    </row>
    <row r="8" spans="1:20" ht="25.5" customHeight="1">
      <c r="A8" s="5">
        <v>45298</v>
      </c>
      <c r="B8" s="6" t="s">
        <v>12</v>
      </c>
      <c r="C8" s="6" t="s">
        <v>4</v>
      </c>
      <c r="D8" s="24">
        <v>6</v>
      </c>
      <c r="E8" s="28">
        <v>900</v>
      </c>
      <c r="F8" s="32">
        <f t="shared" si="0"/>
        <v>0.1</v>
      </c>
      <c r="G8" s="28">
        <v>5400</v>
      </c>
      <c r="H8" s="6" t="s">
        <v>30</v>
      </c>
      <c r="I8" s="7" t="s">
        <v>20</v>
      </c>
      <c r="J8" s="6">
        <f t="shared" si="1"/>
        <v>1</v>
      </c>
      <c r="K8" s="40">
        <v>45321</v>
      </c>
      <c r="L8" s="1" t="str">
        <v>South</v>
      </c>
      <c r="M8" s="1" t="str">
        <v>Mouse</v>
      </c>
      <c r="N8" s="1">
        <v>45</v>
      </c>
      <c r="O8" s="1">
        <v>25</v>
      </c>
      <c r="P8" s="1">
        <v>0.05</v>
      </c>
      <c r="Q8" s="1">
        <v>1125</v>
      </c>
      <c r="R8" s="1" t="str">
        <v>Bella</v>
      </c>
      <c r="S8" s="1" t="str">
        <v>Retail</v>
      </c>
      <c r="T8">
        <v>1</v>
      </c>
    </row>
    <row r="9" spans="1:20" ht="25.5" customHeight="1">
      <c r="A9" s="5">
        <v>45299</v>
      </c>
      <c r="B9" s="6" t="s">
        <v>15</v>
      </c>
      <c r="C9" s="6" t="s">
        <v>8</v>
      </c>
      <c r="D9" s="24">
        <v>9</v>
      </c>
      <c r="E9" s="28">
        <v>400</v>
      </c>
      <c r="F9" s="32">
        <f t="shared" si="0"/>
        <v>0.08</v>
      </c>
      <c r="G9" s="28">
        <v>3600</v>
      </c>
      <c r="H9" s="6" t="s">
        <v>31</v>
      </c>
      <c r="I9" s="7" t="s">
        <v>19</v>
      </c>
      <c r="J9" s="6">
        <f t="shared" si="1"/>
        <v>1</v>
      </c>
      <c r="K9" s="40">
        <v>45327</v>
      </c>
      <c r="L9" s="1" t="str">
        <v>West</v>
      </c>
      <c r="M9" s="1" t="str">
        <v>Mouse</v>
      </c>
      <c r="N9" s="1">
        <v>33</v>
      </c>
      <c r="O9" s="1">
        <v>25</v>
      </c>
      <c r="P9" s="1">
        <v>0.05</v>
      </c>
      <c r="Q9" s="1">
        <v>825</v>
      </c>
      <c r="R9" s="1" t="str">
        <v>Diana</v>
      </c>
      <c r="S9" s="1" t="str">
        <v>Wholesale</v>
      </c>
      <c r="T9">
        <v>2</v>
      </c>
    </row>
    <row r="10" spans="1:20" ht="25.5" customHeight="1">
      <c r="A10" s="5">
        <v>45300</v>
      </c>
      <c r="B10" s="6" t="s">
        <v>13</v>
      </c>
      <c r="C10" s="6" t="s">
        <v>7</v>
      </c>
      <c r="D10" s="24">
        <v>14</v>
      </c>
      <c r="E10" s="28">
        <v>700</v>
      </c>
      <c r="F10" s="32">
        <f t="shared" si="0"/>
        <v>0.12</v>
      </c>
      <c r="G10" s="28">
        <v>9800</v>
      </c>
      <c r="H10" s="6" t="s">
        <v>28</v>
      </c>
      <c r="I10" s="7" t="s">
        <v>18</v>
      </c>
      <c r="J10" s="6">
        <f t="shared" si="1"/>
        <v>1</v>
      </c>
      <c r="K10" s="40">
        <v>45333</v>
      </c>
      <c r="L10" s="1" t="str">
        <v>South</v>
      </c>
      <c r="M10" s="1" t="str">
        <v>Mouse</v>
      </c>
      <c r="N10" s="1">
        <v>38</v>
      </c>
      <c r="O10" s="1">
        <v>25</v>
      </c>
      <c r="P10" s="1">
        <v>0.05</v>
      </c>
      <c r="Q10" s="1">
        <v>950</v>
      </c>
      <c r="R10" s="1" t="str">
        <v>Bella</v>
      </c>
      <c r="S10" s="1" t="str">
        <v>Retail</v>
      </c>
      <c r="T10">
        <v>2</v>
      </c>
    </row>
    <row r="11" spans="1:20" ht="25.5" customHeight="1">
      <c r="A11" s="5">
        <v>45301</v>
      </c>
      <c r="B11" s="6" t="s">
        <v>14</v>
      </c>
      <c r="C11" s="6" t="s">
        <v>5</v>
      </c>
      <c r="D11" s="24">
        <v>11</v>
      </c>
      <c r="E11" s="28">
        <v>250</v>
      </c>
      <c r="F11" s="32">
        <f t="shared" si="0"/>
        <v>7.0000000000000007E-2</v>
      </c>
      <c r="G11" s="28">
        <v>2750</v>
      </c>
      <c r="H11" s="6" t="s">
        <v>29</v>
      </c>
      <c r="I11" s="7" t="s">
        <v>20</v>
      </c>
      <c r="J11" s="6">
        <f t="shared" si="1"/>
        <v>1</v>
      </c>
      <c r="K11" s="40">
        <v>45339</v>
      </c>
      <c r="L11" s="1" t="str">
        <v>West</v>
      </c>
      <c r="M11" s="1" t="str">
        <v>Mouse</v>
      </c>
      <c r="N11" s="1">
        <v>42</v>
      </c>
      <c r="O11" s="1">
        <v>25</v>
      </c>
      <c r="P11" s="1">
        <v>0.05</v>
      </c>
      <c r="Q11" s="1">
        <v>1050</v>
      </c>
      <c r="R11" s="1" t="str">
        <v>Diana</v>
      </c>
      <c r="S11" s="1" t="str">
        <v>Retail</v>
      </c>
      <c r="T11">
        <v>2</v>
      </c>
    </row>
    <row r="12" spans="1:20" ht="25.5" customHeight="1">
      <c r="A12" s="5">
        <v>45302</v>
      </c>
      <c r="B12" s="6" t="s">
        <v>12</v>
      </c>
      <c r="C12" s="6" t="s">
        <v>3</v>
      </c>
      <c r="D12" s="24">
        <v>22</v>
      </c>
      <c r="E12" s="28">
        <v>50</v>
      </c>
      <c r="F12" s="32">
        <f t="shared" si="0"/>
        <v>0.05</v>
      </c>
      <c r="G12" s="28">
        <v>1100</v>
      </c>
      <c r="H12" s="6" t="s">
        <v>30</v>
      </c>
      <c r="I12" s="7" t="s">
        <v>19</v>
      </c>
      <c r="J12" s="6">
        <f t="shared" si="1"/>
        <v>1</v>
      </c>
      <c r="K12" s="40">
        <v>45345</v>
      </c>
      <c r="L12" s="1" t="str">
        <v>South</v>
      </c>
      <c r="M12" s="1" t="str">
        <v>Mouse</v>
      </c>
      <c r="N12" s="1">
        <v>36</v>
      </c>
      <c r="O12" s="1">
        <v>25</v>
      </c>
      <c r="P12" s="1">
        <v>0.05</v>
      </c>
      <c r="Q12" s="1">
        <v>900</v>
      </c>
      <c r="R12" s="1" t="str">
        <v>Bella</v>
      </c>
      <c r="S12" s="1" t="str">
        <v>Wholesale</v>
      </c>
      <c r="T12">
        <v>2</v>
      </c>
    </row>
    <row r="13" spans="1:20" ht="25.5" customHeight="1">
      <c r="A13" s="5">
        <v>45303</v>
      </c>
      <c r="B13" s="6" t="s">
        <v>15</v>
      </c>
      <c r="C13" s="6" t="s">
        <v>6</v>
      </c>
      <c r="D13" s="24">
        <v>35</v>
      </c>
      <c r="E13" s="28">
        <v>25</v>
      </c>
      <c r="F13" s="32">
        <f t="shared" si="0"/>
        <v>0.05</v>
      </c>
      <c r="G13" s="28">
        <v>875</v>
      </c>
      <c r="H13" s="6" t="s">
        <v>31</v>
      </c>
      <c r="I13" s="7" t="s">
        <v>18</v>
      </c>
      <c r="J13" s="6">
        <f t="shared" si="1"/>
        <v>1</v>
      </c>
      <c r="K13" s="40">
        <v>45351</v>
      </c>
      <c r="L13" s="1" t="str">
        <v>West</v>
      </c>
      <c r="M13" s="1" t="str">
        <v>Mouse</v>
      </c>
      <c r="N13" s="1">
        <v>48</v>
      </c>
      <c r="O13" s="1">
        <v>25</v>
      </c>
      <c r="P13" s="1">
        <v>0.05</v>
      </c>
      <c r="Q13" s="1">
        <v>1200</v>
      </c>
      <c r="R13" s="1" t="str">
        <v>Diana</v>
      </c>
      <c r="S13" s="1" t="str">
        <v>Online</v>
      </c>
      <c r="T13">
        <v>2</v>
      </c>
    </row>
    <row r="14" spans="1:20" ht="25.5" customHeight="1">
      <c r="A14" s="5">
        <v>45304</v>
      </c>
      <c r="B14" s="6" t="s">
        <v>13</v>
      </c>
      <c r="C14" s="6" t="s">
        <v>4</v>
      </c>
      <c r="D14" s="24">
        <v>4</v>
      </c>
      <c r="E14" s="28">
        <v>900</v>
      </c>
      <c r="F14" s="32">
        <f t="shared" si="0"/>
        <v>0.1</v>
      </c>
      <c r="G14" s="28">
        <v>3600</v>
      </c>
      <c r="H14" s="6" t="s">
        <v>28</v>
      </c>
      <c r="I14" s="7" t="s">
        <v>19</v>
      </c>
      <c r="J14" s="6">
        <f t="shared" si="1"/>
        <v>1</v>
      </c>
    </row>
    <row r="15" spans="1:20" ht="25.5" customHeight="1">
      <c r="A15" s="5">
        <v>45305</v>
      </c>
      <c r="B15" s="6" t="s">
        <v>14</v>
      </c>
      <c r="C15" s="6" t="s">
        <v>8</v>
      </c>
      <c r="D15" s="24">
        <v>7</v>
      </c>
      <c r="E15" s="28">
        <v>400</v>
      </c>
      <c r="F15" s="32">
        <f t="shared" si="0"/>
        <v>0.08</v>
      </c>
      <c r="G15" s="28">
        <v>2800</v>
      </c>
      <c r="H15" s="6" t="s">
        <v>29</v>
      </c>
      <c r="I15" s="7" t="s">
        <v>18</v>
      </c>
      <c r="J15" s="6">
        <f t="shared" si="1"/>
        <v>1</v>
      </c>
    </row>
    <row r="16" spans="1:20" ht="25.5" customHeight="1">
      <c r="A16" s="5">
        <v>45306</v>
      </c>
      <c r="B16" s="6" t="s">
        <v>12</v>
      </c>
      <c r="C16" s="6" t="s">
        <v>7</v>
      </c>
      <c r="D16" s="24">
        <v>10</v>
      </c>
      <c r="E16" s="28">
        <v>700</v>
      </c>
      <c r="F16" s="32">
        <f t="shared" si="0"/>
        <v>0.12</v>
      </c>
      <c r="G16" s="28">
        <v>7000</v>
      </c>
      <c r="H16" s="6" t="s">
        <v>30</v>
      </c>
      <c r="I16" s="7" t="s">
        <v>20</v>
      </c>
      <c r="J16" s="6">
        <f t="shared" si="1"/>
        <v>1</v>
      </c>
    </row>
    <row r="17" spans="1:10" ht="25.5" customHeight="1">
      <c r="A17" s="5">
        <v>45307</v>
      </c>
      <c r="B17" s="6" t="s">
        <v>15</v>
      </c>
      <c r="C17" s="6" t="s">
        <v>5</v>
      </c>
      <c r="D17" s="24">
        <v>12</v>
      </c>
      <c r="E17" s="28">
        <v>250</v>
      </c>
      <c r="F17" s="32">
        <f t="shared" si="0"/>
        <v>7.0000000000000007E-2</v>
      </c>
      <c r="G17" s="28">
        <v>3000</v>
      </c>
      <c r="H17" s="6" t="s">
        <v>31</v>
      </c>
      <c r="I17" s="7" t="s">
        <v>19</v>
      </c>
      <c r="J17" s="6">
        <f t="shared" si="1"/>
        <v>1</v>
      </c>
    </row>
    <row r="18" spans="1:10" ht="25.5" customHeight="1">
      <c r="A18" s="5">
        <v>45308</v>
      </c>
      <c r="B18" s="6" t="s">
        <v>13</v>
      </c>
      <c r="C18" s="6" t="s">
        <v>3</v>
      </c>
      <c r="D18" s="24">
        <v>25</v>
      </c>
      <c r="E18" s="28">
        <v>50</v>
      </c>
      <c r="F18" s="32">
        <f t="shared" si="0"/>
        <v>0.05</v>
      </c>
      <c r="G18" s="28">
        <v>1250</v>
      </c>
      <c r="H18" s="6" t="s">
        <v>28</v>
      </c>
      <c r="I18" s="7" t="s">
        <v>18</v>
      </c>
      <c r="J18" s="6">
        <f t="shared" si="1"/>
        <v>1</v>
      </c>
    </row>
    <row r="19" spans="1:10" ht="25.5" customHeight="1">
      <c r="A19" s="5">
        <v>45309</v>
      </c>
      <c r="B19" s="6" t="s">
        <v>14</v>
      </c>
      <c r="C19" s="6" t="s">
        <v>6</v>
      </c>
      <c r="D19" s="24">
        <v>40</v>
      </c>
      <c r="E19" s="28">
        <v>25</v>
      </c>
      <c r="F19" s="32">
        <f t="shared" si="0"/>
        <v>0.05</v>
      </c>
      <c r="G19" s="28">
        <v>1000</v>
      </c>
      <c r="H19" s="6" t="s">
        <v>29</v>
      </c>
      <c r="I19" s="7" t="s">
        <v>19</v>
      </c>
      <c r="J19" s="6">
        <f t="shared" si="1"/>
        <v>1</v>
      </c>
    </row>
    <row r="20" spans="1:10" ht="25.5" customHeight="1">
      <c r="A20" s="5">
        <v>45310</v>
      </c>
      <c r="B20" s="6" t="s">
        <v>12</v>
      </c>
      <c r="C20" s="6" t="s">
        <v>4</v>
      </c>
      <c r="D20" s="24">
        <v>8</v>
      </c>
      <c r="E20" s="28">
        <v>900</v>
      </c>
      <c r="F20" s="32">
        <f t="shared" si="0"/>
        <v>0.1</v>
      </c>
      <c r="G20" s="28">
        <v>7200</v>
      </c>
      <c r="H20" s="6" t="s">
        <v>30</v>
      </c>
      <c r="I20" s="7" t="s">
        <v>18</v>
      </c>
      <c r="J20" s="6">
        <f t="shared" si="1"/>
        <v>1</v>
      </c>
    </row>
    <row r="21" spans="1:10" ht="25.5" customHeight="1">
      <c r="A21" s="5">
        <v>45311</v>
      </c>
      <c r="B21" s="6" t="s">
        <v>15</v>
      </c>
      <c r="C21" s="6" t="s">
        <v>8</v>
      </c>
      <c r="D21" s="24">
        <v>6</v>
      </c>
      <c r="E21" s="28">
        <v>400</v>
      </c>
      <c r="F21" s="32">
        <f t="shared" si="0"/>
        <v>0.08</v>
      </c>
      <c r="G21" s="28">
        <v>2400</v>
      </c>
      <c r="H21" s="6" t="s">
        <v>31</v>
      </c>
      <c r="I21" s="7" t="s">
        <v>20</v>
      </c>
      <c r="J21" s="6">
        <f t="shared" si="1"/>
        <v>1</v>
      </c>
    </row>
    <row r="22" spans="1:10" ht="25.5" customHeight="1">
      <c r="A22" s="5">
        <v>45312</v>
      </c>
      <c r="B22" s="6" t="s">
        <v>13</v>
      </c>
      <c r="C22" s="6" t="s">
        <v>7</v>
      </c>
      <c r="D22" s="24">
        <v>15</v>
      </c>
      <c r="E22" s="28">
        <v>700</v>
      </c>
      <c r="F22" s="32">
        <f t="shared" si="0"/>
        <v>0.12</v>
      </c>
      <c r="G22" s="28">
        <v>10500</v>
      </c>
      <c r="H22" s="6" t="s">
        <v>28</v>
      </c>
      <c r="I22" s="7" t="s">
        <v>19</v>
      </c>
      <c r="J22" s="6">
        <f t="shared" si="1"/>
        <v>1</v>
      </c>
    </row>
    <row r="23" spans="1:10" ht="25.5" customHeight="1">
      <c r="A23" s="5">
        <v>45313</v>
      </c>
      <c r="B23" s="6" t="s">
        <v>14</v>
      </c>
      <c r="C23" s="6" t="s">
        <v>5</v>
      </c>
      <c r="D23" s="24">
        <v>9</v>
      </c>
      <c r="E23" s="28">
        <v>250</v>
      </c>
      <c r="F23" s="32">
        <f t="shared" si="0"/>
        <v>7.0000000000000007E-2</v>
      </c>
      <c r="G23" s="28">
        <v>2250</v>
      </c>
      <c r="H23" s="6" t="s">
        <v>29</v>
      </c>
      <c r="I23" s="7" t="s">
        <v>18</v>
      </c>
      <c r="J23" s="6">
        <f t="shared" si="1"/>
        <v>1</v>
      </c>
    </row>
    <row r="24" spans="1:10" ht="25.5" customHeight="1">
      <c r="A24" s="5">
        <v>45314</v>
      </c>
      <c r="B24" s="6" t="s">
        <v>12</v>
      </c>
      <c r="C24" s="6" t="s">
        <v>3</v>
      </c>
      <c r="D24" s="24">
        <v>18</v>
      </c>
      <c r="E24" s="28">
        <v>50</v>
      </c>
      <c r="F24" s="32">
        <f t="shared" si="0"/>
        <v>0.05</v>
      </c>
      <c r="G24" s="28">
        <v>900</v>
      </c>
      <c r="H24" s="6" t="s">
        <v>30</v>
      </c>
      <c r="I24" s="7" t="s">
        <v>20</v>
      </c>
      <c r="J24" s="6">
        <f t="shared" si="1"/>
        <v>1</v>
      </c>
    </row>
    <row r="25" spans="1:10" ht="25.5" customHeight="1">
      <c r="A25" s="5">
        <v>45315</v>
      </c>
      <c r="B25" s="6" t="s">
        <v>15</v>
      </c>
      <c r="C25" s="6" t="s">
        <v>6</v>
      </c>
      <c r="D25" s="24">
        <v>28</v>
      </c>
      <c r="E25" s="28">
        <v>25</v>
      </c>
      <c r="F25" s="32">
        <f t="shared" si="0"/>
        <v>0.05</v>
      </c>
      <c r="G25" s="28">
        <v>700</v>
      </c>
      <c r="H25" s="6" t="s">
        <v>31</v>
      </c>
      <c r="I25" s="7" t="s">
        <v>19</v>
      </c>
      <c r="J25" s="6">
        <f t="shared" si="1"/>
        <v>1</v>
      </c>
    </row>
    <row r="26" spans="1:10" ht="25.5" customHeight="1">
      <c r="A26" s="5">
        <v>45316</v>
      </c>
      <c r="B26" s="6" t="s">
        <v>13</v>
      </c>
      <c r="C26" s="6" t="s">
        <v>4</v>
      </c>
      <c r="D26" s="24">
        <v>7</v>
      </c>
      <c r="E26" s="28">
        <v>900</v>
      </c>
      <c r="F26" s="32">
        <f t="shared" si="0"/>
        <v>0.1</v>
      </c>
      <c r="G26" s="28">
        <v>6300</v>
      </c>
      <c r="H26" s="6" t="s">
        <v>28</v>
      </c>
      <c r="I26" s="7" t="s">
        <v>18</v>
      </c>
      <c r="J26" s="6">
        <f t="shared" si="1"/>
        <v>1</v>
      </c>
    </row>
    <row r="27" spans="1:10" ht="25.5" customHeight="1">
      <c r="A27" s="5">
        <v>45317</v>
      </c>
      <c r="B27" s="6" t="s">
        <v>14</v>
      </c>
      <c r="C27" s="6" t="s">
        <v>8</v>
      </c>
      <c r="D27" s="24">
        <v>10</v>
      </c>
      <c r="E27" s="28">
        <v>400</v>
      </c>
      <c r="F27" s="32">
        <f t="shared" si="0"/>
        <v>0.08</v>
      </c>
      <c r="G27" s="28">
        <v>4000</v>
      </c>
      <c r="H27" s="6" t="s">
        <v>29</v>
      </c>
      <c r="I27" s="7" t="s">
        <v>20</v>
      </c>
      <c r="J27" s="6">
        <f t="shared" si="1"/>
        <v>1</v>
      </c>
    </row>
    <row r="28" spans="1:10" ht="25.5" customHeight="1">
      <c r="A28" s="5">
        <v>45318</v>
      </c>
      <c r="B28" s="6" t="s">
        <v>12</v>
      </c>
      <c r="C28" s="6" t="s">
        <v>7</v>
      </c>
      <c r="D28" s="24">
        <v>13</v>
      </c>
      <c r="E28" s="28">
        <v>700</v>
      </c>
      <c r="F28" s="32">
        <f t="shared" si="0"/>
        <v>0.12</v>
      </c>
      <c r="G28" s="28">
        <v>9100</v>
      </c>
      <c r="H28" s="6" t="s">
        <v>30</v>
      </c>
      <c r="I28" s="7" t="s">
        <v>19</v>
      </c>
      <c r="J28" s="6">
        <f t="shared" si="1"/>
        <v>1</v>
      </c>
    </row>
    <row r="29" spans="1:10" ht="25.5" customHeight="1">
      <c r="A29" s="5">
        <v>45319</v>
      </c>
      <c r="B29" s="6" t="s">
        <v>15</v>
      </c>
      <c r="C29" s="6" t="s">
        <v>5</v>
      </c>
      <c r="D29" s="24">
        <v>14</v>
      </c>
      <c r="E29" s="28">
        <v>250</v>
      </c>
      <c r="F29" s="32">
        <f t="shared" si="0"/>
        <v>7.0000000000000007E-2</v>
      </c>
      <c r="G29" s="28">
        <v>3500</v>
      </c>
      <c r="H29" s="6" t="s">
        <v>31</v>
      </c>
      <c r="I29" s="7" t="s">
        <v>18</v>
      </c>
      <c r="J29" s="6">
        <f t="shared" si="1"/>
        <v>1</v>
      </c>
    </row>
    <row r="30" spans="1:10" ht="25.5" customHeight="1">
      <c r="A30" s="5">
        <v>45320</v>
      </c>
      <c r="B30" s="6" t="s">
        <v>13</v>
      </c>
      <c r="C30" s="6" t="s">
        <v>3</v>
      </c>
      <c r="D30" s="24">
        <v>30</v>
      </c>
      <c r="E30" s="28">
        <v>50</v>
      </c>
      <c r="F30" s="32">
        <f t="shared" si="0"/>
        <v>0.05</v>
      </c>
      <c r="G30" s="28">
        <v>1500</v>
      </c>
      <c r="H30" s="6" t="s">
        <v>28</v>
      </c>
      <c r="I30" s="7" t="s">
        <v>20</v>
      </c>
      <c r="J30" s="6">
        <f t="shared" si="1"/>
        <v>1</v>
      </c>
    </row>
    <row r="31" spans="1:10" ht="25.5" customHeight="1">
      <c r="A31" s="5">
        <v>45321</v>
      </c>
      <c r="B31" s="6" t="s">
        <v>14</v>
      </c>
      <c r="C31" s="6" t="s">
        <v>6</v>
      </c>
      <c r="D31" s="24">
        <v>45</v>
      </c>
      <c r="E31" s="28">
        <v>25</v>
      </c>
      <c r="F31" s="32">
        <f t="shared" si="0"/>
        <v>0.05</v>
      </c>
      <c r="G31" s="28">
        <v>1125</v>
      </c>
      <c r="H31" s="6" t="s">
        <v>29</v>
      </c>
      <c r="I31" s="7" t="s">
        <v>19</v>
      </c>
      <c r="J31" s="6">
        <f t="shared" si="1"/>
        <v>1</v>
      </c>
    </row>
    <row r="32" spans="1:10" ht="25.5" customHeight="1">
      <c r="A32" s="5">
        <v>45322</v>
      </c>
      <c r="B32" s="6" t="s">
        <v>12</v>
      </c>
      <c r="C32" s="6" t="s">
        <v>4</v>
      </c>
      <c r="D32" s="24">
        <v>5</v>
      </c>
      <c r="E32" s="28">
        <v>900</v>
      </c>
      <c r="F32" s="32">
        <f t="shared" si="0"/>
        <v>0.1</v>
      </c>
      <c r="G32" s="28">
        <v>4500</v>
      </c>
      <c r="H32" s="6" t="s">
        <v>30</v>
      </c>
      <c r="I32" s="7" t="s">
        <v>18</v>
      </c>
      <c r="J32" s="6">
        <f t="shared" si="1"/>
        <v>1</v>
      </c>
    </row>
    <row r="33" spans="1:10" ht="25.5" customHeight="1">
      <c r="A33" s="5">
        <v>45323</v>
      </c>
      <c r="B33" s="6" t="s">
        <v>15</v>
      </c>
      <c r="C33" s="6" t="s">
        <v>8</v>
      </c>
      <c r="D33" s="24">
        <v>8</v>
      </c>
      <c r="E33" s="28">
        <v>400</v>
      </c>
      <c r="F33" s="32">
        <f t="shared" si="0"/>
        <v>0.08</v>
      </c>
      <c r="G33" s="28">
        <v>3200</v>
      </c>
      <c r="H33" s="6" t="s">
        <v>31</v>
      </c>
      <c r="I33" s="7" t="s">
        <v>19</v>
      </c>
      <c r="J33" s="6">
        <f t="shared" si="1"/>
        <v>2</v>
      </c>
    </row>
    <row r="34" spans="1:10" ht="25.5" customHeight="1">
      <c r="A34" s="5">
        <v>45324</v>
      </c>
      <c r="B34" s="6" t="s">
        <v>13</v>
      </c>
      <c r="C34" s="6" t="s">
        <v>7</v>
      </c>
      <c r="D34" s="24">
        <v>11</v>
      </c>
      <c r="E34" s="28">
        <v>700</v>
      </c>
      <c r="F34" s="32">
        <f t="shared" ref="F34:F61" si="2">IF(C34="Laptop",10%,
IF(C34="Tablet",8%,
IF(C34="Smartphone",12%,
IF(C34="Monitor",7%,
IF(C34="Keyboard",5%,
IF(C34="Mouse",5%,0))))))</f>
        <v>0.12</v>
      </c>
      <c r="G34" s="28">
        <v>7700</v>
      </c>
      <c r="H34" s="6" t="s">
        <v>28</v>
      </c>
      <c r="I34" s="7" t="s">
        <v>20</v>
      </c>
      <c r="J34" s="6">
        <f t="shared" ref="J34:J61" si="3">MONTH(A34)</f>
        <v>2</v>
      </c>
    </row>
    <row r="35" spans="1:10" ht="25.5" customHeight="1">
      <c r="A35" s="5">
        <v>45325</v>
      </c>
      <c r="B35" s="6" t="s">
        <v>14</v>
      </c>
      <c r="C35" s="6" t="s">
        <v>5</v>
      </c>
      <c r="D35" s="24">
        <v>10</v>
      </c>
      <c r="E35" s="28">
        <v>250</v>
      </c>
      <c r="F35" s="32">
        <f t="shared" si="2"/>
        <v>7.0000000000000007E-2</v>
      </c>
      <c r="G35" s="28">
        <v>2500</v>
      </c>
      <c r="H35" s="6" t="s">
        <v>29</v>
      </c>
      <c r="I35" s="7" t="s">
        <v>18</v>
      </c>
      <c r="J35" s="6">
        <f t="shared" si="3"/>
        <v>2</v>
      </c>
    </row>
    <row r="36" spans="1:10" ht="25.5" customHeight="1">
      <c r="A36" s="5">
        <v>45326</v>
      </c>
      <c r="B36" s="6" t="s">
        <v>12</v>
      </c>
      <c r="C36" s="6" t="s">
        <v>3</v>
      </c>
      <c r="D36" s="24">
        <v>20</v>
      </c>
      <c r="E36" s="28">
        <v>50</v>
      </c>
      <c r="F36" s="32">
        <f t="shared" si="2"/>
        <v>0.05</v>
      </c>
      <c r="G36" s="28">
        <v>1000</v>
      </c>
      <c r="H36" s="6" t="s">
        <v>30</v>
      </c>
      <c r="I36" s="7" t="s">
        <v>19</v>
      </c>
      <c r="J36" s="6">
        <f t="shared" si="3"/>
        <v>2</v>
      </c>
    </row>
    <row r="37" spans="1:10" ht="25.5" customHeight="1">
      <c r="A37" s="5">
        <v>45327</v>
      </c>
      <c r="B37" s="6" t="s">
        <v>15</v>
      </c>
      <c r="C37" s="6" t="s">
        <v>6</v>
      </c>
      <c r="D37" s="24">
        <v>33</v>
      </c>
      <c r="E37" s="28">
        <v>25</v>
      </c>
      <c r="F37" s="32">
        <f t="shared" si="2"/>
        <v>0.05</v>
      </c>
      <c r="G37" s="28">
        <v>825</v>
      </c>
      <c r="H37" s="6" t="s">
        <v>31</v>
      </c>
      <c r="I37" s="7" t="s">
        <v>20</v>
      </c>
      <c r="J37" s="6">
        <f t="shared" si="3"/>
        <v>2</v>
      </c>
    </row>
    <row r="38" spans="1:10" ht="25.5" customHeight="1">
      <c r="A38" s="5">
        <v>45328</v>
      </c>
      <c r="B38" s="6" t="s">
        <v>13</v>
      </c>
      <c r="C38" s="6" t="s">
        <v>4</v>
      </c>
      <c r="D38" s="24">
        <v>9</v>
      </c>
      <c r="E38" s="28">
        <v>900</v>
      </c>
      <c r="F38" s="32">
        <f t="shared" si="2"/>
        <v>0.1</v>
      </c>
      <c r="G38" s="28">
        <v>8100</v>
      </c>
      <c r="H38" s="6" t="s">
        <v>28</v>
      </c>
      <c r="I38" s="7" t="s">
        <v>19</v>
      </c>
      <c r="J38" s="6">
        <f t="shared" si="3"/>
        <v>2</v>
      </c>
    </row>
    <row r="39" spans="1:10" ht="25.5" customHeight="1">
      <c r="A39" s="5">
        <v>45329</v>
      </c>
      <c r="B39" s="6" t="s">
        <v>14</v>
      </c>
      <c r="C39" s="6" t="s">
        <v>8</v>
      </c>
      <c r="D39" s="24">
        <v>6</v>
      </c>
      <c r="E39" s="28">
        <v>400</v>
      </c>
      <c r="F39" s="32">
        <f t="shared" si="2"/>
        <v>0.08</v>
      </c>
      <c r="G39" s="28">
        <v>2400</v>
      </c>
      <c r="H39" s="6" t="s">
        <v>29</v>
      </c>
      <c r="I39" s="7" t="s">
        <v>18</v>
      </c>
      <c r="J39" s="6">
        <f t="shared" si="3"/>
        <v>2</v>
      </c>
    </row>
    <row r="40" spans="1:10" ht="25.5" customHeight="1">
      <c r="A40" s="5">
        <v>45330</v>
      </c>
      <c r="B40" s="6" t="s">
        <v>12</v>
      </c>
      <c r="C40" s="6" t="s">
        <v>7</v>
      </c>
      <c r="D40" s="24">
        <v>16</v>
      </c>
      <c r="E40" s="28">
        <v>700</v>
      </c>
      <c r="F40" s="32">
        <f t="shared" si="2"/>
        <v>0.12</v>
      </c>
      <c r="G40" s="28">
        <v>11200</v>
      </c>
      <c r="H40" s="6" t="s">
        <v>30</v>
      </c>
      <c r="I40" s="7" t="s">
        <v>19</v>
      </c>
      <c r="J40" s="6">
        <f t="shared" si="3"/>
        <v>2</v>
      </c>
    </row>
    <row r="41" spans="1:10" ht="25.5" customHeight="1">
      <c r="A41" s="5">
        <v>45331</v>
      </c>
      <c r="B41" s="6" t="s">
        <v>15</v>
      </c>
      <c r="C41" s="6" t="s">
        <v>5</v>
      </c>
      <c r="D41" s="24">
        <v>8</v>
      </c>
      <c r="E41" s="28">
        <v>250</v>
      </c>
      <c r="F41" s="32">
        <f t="shared" si="2"/>
        <v>7.0000000000000007E-2</v>
      </c>
      <c r="G41" s="28">
        <v>2000</v>
      </c>
      <c r="H41" s="6" t="s">
        <v>31</v>
      </c>
      <c r="I41" s="7" t="s">
        <v>20</v>
      </c>
      <c r="J41" s="6">
        <f t="shared" si="3"/>
        <v>2</v>
      </c>
    </row>
    <row r="42" spans="1:10" ht="25.5" customHeight="1">
      <c r="A42" s="5">
        <v>45332</v>
      </c>
      <c r="B42" s="6" t="s">
        <v>13</v>
      </c>
      <c r="C42" s="6" t="s">
        <v>3</v>
      </c>
      <c r="D42" s="24">
        <v>27</v>
      </c>
      <c r="E42" s="28">
        <v>50</v>
      </c>
      <c r="F42" s="32">
        <f t="shared" si="2"/>
        <v>0.05</v>
      </c>
      <c r="G42" s="28">
        <v>1350</v>
      </c>
      <c r="H42" s="6" t="s">
        <v>28</v>
      </c>
      <c r="I42" s="7" t="s">
        <v>18</v>
      </c>
      <c r="J42" s="6">
        <f t="shared" si="3"/>
        <v>2</v>
      </c>
    </row>
    <row r="43" spans="1:10" ht="25.5" customHeight="1">
      <c r="A43" s="5">
        <v>45333</v>
      </c>
      <c r="B43" s="6" t="s">
        <v>14</v>
      </c>
      <c r="C43" s="6" t="s">
        <v>6</v>
      </c>
      <c r="D43" s="24">
        <v>38</v>
      </c>
      <c r="E43" s="28">
        <v>25</v>
      </c>
      <c r="F43" s="32">
        <f t="shared" si="2"/>
        <v>0.05</v>
      </c>
      <c r="G43" s="28">
        <v>950</v>
      </c>
      <c r="H43" s="6" t="s">
        <v>29</v>
      </c>
      <c r="I43" s="7" t="s">
        <v>19</v>
      </c>
      <c r="J43" s="6">
        <f t="shared" si="3"/>
        <v>2</v>
      </c>
    </row>
    <row r="44" spans="1:10" ht="25.5" customHeight="1">
      <c r="A44" s="5">
        <v>45334</v>
      </c>
      <c r="B44" s="6" t="s">
        <v>12</v>
      </c>
      <c r="C44" s="6" t="s">
        <v>4</v>
      </c>
      <c r="D44" s="24">
        <v>6</v>
      </c>
      <c r="E44" s="28">
        <v>900</v>
      </c>
      <c r="F44" s="32">
        <f t="shared" si="2"/>
        <v>0.1</v>
      </c>
      <c r="G44" s="28">
        <v>5400</v>
      </c>
      <c r="H44" s="6" t="s">
        <v>30</v>
      </c>
      <c r="I44" s="7" t="s">
        <v>20</v>
      </c>
      <c r="J44" s="6">
        <f t="shared" si="3"/>
        <v>2</v>
      </c>
    </row>
    <row r="45" spans="1:10" ht="25.5" customHeight="1">
      <c r="A45" s="5">
        <v>45335</v>
      </c>
      <c r="B45" s="6" t="s">
        <v>15</v>
      </c>
      <c r="C45" s="6" t="s">
        <v>8</v>
      </c>
      <c r="D45" s="24">
        <v>9</v>
      </c>
      <c r="E45" s="28">
        <v>400</v>
      </c>
      <c r="F45" s="32">
        <f t="shared" si="2"/>
        <v>0.08</v>
      </c>
      <c r="G45" s="28">
        <v>3600</v>
      </c>
      <c r="H45" s="6" t="s">
        <v>31</v>
      </c>
      <c r="I45" s="7" t="s">
        <v>18</v>
      </c>
      <c r="J45" s="6">
        <f t="shared" si="3"/>
        <v>2</v>
      </c>
    </row>
    <row r="46" spans="1:10" ht="25.5" customHeight="1">
      <c r="A46" s="5">
        <v>45336</v>
      </c>
      <c r="B46" s="6" t="s">
        <v>13</v>
      </c>
      <c r="C46" s="6" t="s">
        <v>7</v>
      </c>
      <c r="D46" s="24">
        <v>18</v>
      </c>
      <c r="E46" s="28">
        <v>700</v>
      </c>
      <c r="F46" s="32">
        <f t="shared" si="2"/>
        <v>0.12</v>
      </c>
      <c r="G46" s="28">
        <v>12600</v>
      </c>
      <c r="H46" s="6" t="s">
        <v>28</v>
      </c>
      <c r="I46" s="7" t="s">
        <v>19</v>
      </c>
      <c r="J46" s="6">
        <f t="shared" si="3"/>
        <v>2</v>
      </c>
    </row>
    <row r="47" spans="1:10" ht="25.5" customHeight="1">
      <c r="A47" s="5">
        <v>45337</v>
      </c>
      <c r="B47" s="6" t="s">
        <v>14</v>
      </c>
      <c r="C47" s="6" t="s">
        <v>5</v>
      </c>
      <c r="D47" s="24">
        <v>13</v>
      </c>
      <c r="E47" s="28">
        <v>250</v>
      </c>
      <c r="F47" s="32">
        <f t="shared" si="2"/>
        <v>7.0000000000000007E-2</v>
      </c>
      <c r="G47" s="28">
        <v>3250</v>
      </c>
      <c r="H47" s="6" t="s">
        <v>29</v>
      </c>
      <c r="I47" s="7" t="s">
        <v>20</v>
      </c>
      <c r="J47" s="6">
        <f t="shared" si="3"/>
        <v>2</v>
      </c>
    </row>
    <row r="48" spans="1:10" ht="25.5" customHeight="1">
      <c r="A48" s="5">
        <v>45338</v>
      </c>
      <c r="B48" s="6" t="s">
        <v>12</v>
      </c>
      <c r="C48" s="6" t="s">
        <v>3</v>
      </c>
      <c r="D48" s="24">
        <v>21</v>
      </c>
      <c r="E48" s="28">
        <v>50</v>
      </c>
      <c r="F48" s="32">
        <f t="shared" si="2"/>
        <v>0.05</v>
      </c>
      <c r="G48" s="28">
        <v>1050</v>
      </c>
      <c r="H48" s="6" t="s">
        <v>30</v>
      </c>
      <c r="I48" s="7" t="s">
        <v>18</v>
      </c>
      <c r="J48" s="6">
        <f t="shared" si="3"/>
        <v>2</v>
      </c>
    </row>
    <row r="49" spans="1:10" ht="25.5" customHeight="1">
      <c r="A49" s="5">
        <v>45339</v>
      </c>
      <c r="B49" s="6" t="s">
        <v>15</v>
      </c>
      <c r="C49" s="6" t="s">
        <v>6</v>
      </c>
      <c r="D49" s="24">
        <v>42</v>
      </c>
      <c r="E49" s="28">
        <v>25</v>
      </c>
      <c r="F49" s="32">
        <f t="shared" si="2"/>
        <v>0.05</v>
      </c>
      <c r="G49" s="28">
        <v>1050</v>
      </c>
      <c r="H49" s="6" t="s">
        <v>31</v>
      </c>
      <c r="I49" s="7" t="s">
        <v>19</v>
      </c>
      <c r="J49" s="6">
        <f t="shared" si="3"/>
        <v>2</v>
      </c>
    </row>
    <row r="50" spans="1:10" ht="25.5" customHeight="1">
      <c r="A50" s="5">
        <v>45340</v>
      </c>
      <c r="B50" s="6" t="s">
        <v>13</v>
      </c>
      <c r="C50" s="6" t="s">
        <v>4</v>
      </c>
      <c r="D50" s="24">
        <v>10</v>
      </c>
      <c r="E50" s="28">
        <v>900</v>
      </c>
      <c r="F50" s="32">
        <f t="shared" si="2"/>
        <v>0.1</v>
      </c>
      <c r="G50" s="28">
        <v>9000</v>
      </c>
      <c r="H50" s="6" t="s">
        <v>28</v>
      </c>
      <c r="I50" s="7" t="s">
        <v>20</v>
      </c>
      <c r="J50" s="6">
        <f t="shared" si="3"/>
        <v>2</v>
      </c>
    </row>
    <row r="51" spans="1:10" ht="25.5" customHeight="1">
      <c r="A51" s="5">
        <v>45341</v>
      </c>
      <c r="B51" s="6" t="s">
        <v>14</v>
      </c>
      <c r="C51" s="6" t="s">
        <v>8</v>
      </c>
      <c r="D51" s="24">
        <v>11</v>
      </c>
      <c r="E51" s="28">
        <v>400</v>
      </c>
      <c r="F51" s="32">
        <f t="shared" si="2"/>
        <v>0.08</v>
      </c>
      <c r="G51" s="28">
        <v>4400</v>
      </c>
      <c r="H51" s="6" t="s">
        <v>29</v>
      </c>
      <c r="I51" s="7" t="s">
        <v>18</v>
      </c>
      <c r="J51" s="6">
        <f t="shared" si="3"/>
        <v>2</v>
      </c>
    </row>
    <row r="52" spans="1:10" ht="25.5" customHeight="1">
      <c r="A52" s="5">
        <v>45342</v>
      </c>
      <c r="B52" s="6" t="s">
        <v>12</v>
      </c>
      <c r="C52" s="6" t="s">
        <v>7</v>
      </c>
      <c r="D52" s="24">
        <v>9</v>
      </c>
      <c r="E52" s="28">
        <v>700</v>
      </c>
      <c r="F52" s="32">
        <f t="shared" si="2"/>
        <v>0.12</v>
      </c>
      <c r="G52" s="28">
        <v>6300</v>
      </c>
      <c r="H52" s="6" t="s">
        <v>30</v>
      </c>
      <c r="I52" s="7" t="s">
        <v>19</v>
      </c>
      <c r="J52" s="6">
        <f t="shared" si="3"/>
        <v>2</v>
      </c>
    </row>
    <row r="53" spans="1:10" ht="25.5" customHeight="1">
      <c r="A53" s="5">
        <v>45343</v>
      </c>
      <c r="B53" s="6" t="s">
        <v>15</v>
      </c>
      <c r="C53" s="6" t="s">
        <v>5</v>
      </c>
      <c r="D53" s="24">
        <v>15</v>
      </c>
      <c r="E53" s="28">
        <v>250</v>
      </c>
      <c r="F53" s="32">
        <f t="shared" si="2"/>
        <v>7.0000000000000007E-2</v>
      </c>
      <c r="G53" s="28">
        <v>3750</v>
      </c>
      <c r="H53" s="6" t="s">
        <v>31</v>
      </c>
      <c r="I53" s="7" t="s">
        <v>18</v>
      </c>
      <c r="J53" s="6">
        <f t="shared" si="3"/>
        <v>2</v>
      </c>
    </row>
    <row r="54" spans="1:10" ht="25.5" customHeight="1">
      <c r="A54" s="5">
        <v>45344</v>
      </c>
      <c r="B54" s="6" t="s">
        <v>13</v>
      </c>
      <c r="C54" s="6" t="s">
        <v>3</v>
      </c>
      <c r="D54" s="24">
        <v>24</v>
      </c>
      <c r="E54" s="28">
        <v>50</v>
      </c>
      <c r="F54" s="32">
        <f t="shared" si="2"/>
        <v>0.05</v>
      </c>
      <c r="G54" s="28">
        <v>1200</v>
      </c>
      <c r="H54" s="6" t="s">
        <v>28</v>
      </c>
      <c r="I54" s="7" t="s">
        <v>19</v>
      </c>
      <c r="J54" s="6">
        <f t="shared" si="3"/>
        <v>2</v>
      </c>
    </row>
    <row r="55" spans="1:10" ht="25.5" customHeight="1">
      <c r="A55" s="5">
        <v>45345</v>
      </c>
      <c r="B55" s="6" t="s">
        <v>14</v>
      </c>
      <c r="C55" s="6" t="s">
        <v>6</v>
      </c>
      <c r="D55" s="24">
        <v>36</v>
      </c>
      <c r="E55" s="28">
        <v>25</v>
      </c>
      <c r="F55" s="32">
        <f t="shared" si="2"/>
        <v>0.05</v>
      </c>
      <c r="G55" s="28">
        <v>900</v>
      </c>
      <c r="H55" s="6" t="s">
        <v>29</v>
      </c>
      <c r="I55" s="7" t="s">
        <v>20</v>
      </c>
      <c r="J55" s="6">
        <f t="shared" si="3"/>
        <v>2</v>
      </c>
    </row>
    <row r="56" spans="1:10" ht="25.5" customHeight="1">
      <c r="A56" s="5">
        <v>45346</v>
      </c>
      <c r="B56" s="6" t="s">
        <v>12</v>
      </c>
      <c r="C56" s="6" t="s">
        <v>4</v>
      </c>
      <c r="D56" s="24">
        <v>7</v>
      </c>
      <c r="E56" s="28">
        <v>900</v>
      </c>
      <c r="F56" s="32">
        <f t="shared" si="2"/>
        <v>0.1</v>
      </c>
      <c r="G56" s="28">
        <v>6300</v>
      </c>
      <c r="H56" s="6" t="s">
        <v>30</v>
      </c>
      <c r="I56" s="7" t="s">
        <v>18</v>
      </c>
      <c r="J56" s="6">
        <f t="shared" si="3"/>
        <v>2</v>
      </c>
    </row>
    <row r="57" spans="1:10" ht="25.5" customHeight="1">
      <c r="A57" s="5">
        <v>45347</v>
      </c>
      <c r="B57" s="6" t="s">
        <v>15</v>
      </c>
      <c r="C57" s="6" t="s">
        <v>8</v>
      </c>
      <c r="D57" s="24">
        <v>10</v>
      </c>
      <c r="E57" s="28">
        <v>400</v>
      </c>
      <c r="F57" s="32">
        <f t="shared" si="2"/>
        <v>0.08</v>
      </c>
      <c r="G57" s="28">
        <v>4000</v>
      </c>
      <c r="H57" s="6" t="s">
        <v>31</v>
      </c>
      <c r="I57" s="7" t="s">
        <v>19</v>
      </c>
      <c r="J57" s="6">
        <f t="shared" si="3"/>
        <v>2</v>
      </c>
    </row>
    <row r="58" spans="1:10" ht="25.5" customHeight="1">
      <c r="A58" s="5">
        <v>45348</v>
      </c>
      <c r="B58" s="6" t="s">
        <v>13</v>
      </c>
      <c r="C58" s="6" t="s">
        <v>7</v>
      </c>
      <c r="D58" s="24">
        <v>14</v>
      </c>
      <c r="E58" s="28">
        <v>700</v>
      </c>
      <c r="F58" s="32">
        <f t="shared" si="2"/>
        <v>0.12</v>
      </c>
      <c r="G58" s="28">
        <v>9800</v>
      </c>
      <c r="H58" s="6" t="s">
        <v>28</v>
      </c>
      <c r="I58" s="7" t="s">
        <v>20</v>
      </c>
      <c r="J58" s="6">
        <f t="shared" si="3"/>
        <v>2</v>
      </c>
    </row>
    <row r="59" spans="1:10" ht="25.5" customHeight="1">
      <c r="A59" s="5">
        <v>45349</v>
      </c>
      <c r="B59" s="6" t="s">
        <v>14</v>
      </c>
      <c r="C59" s="6" t="s">
        <v>5</v>
      </c>
      <c r="D59" s="24">
        <v>12</v>
      </c>
      <c r="E59" s="28">
        <v>250</v>
      </c>
      <c r="F59" s="32">
        <f t="shared" si="2"/>
        <v>7.0000000000000007E-2</v>
      </c>
      <c r="G59" s="28">
        <v>3000</v>
      </c>
      <c r="H59" s="6" t="s">
        <v>29</v>
      </c>
      <c r="I59" s="7" t="s">
        <v>18</v>
      </c>
      <c r="J59" s="6">
        <f t="shared" si="3"/>
        <v>2</v>
      </c>
    </row>
    <row r="60" spans="1:10" ht="25.5" customHeight="1">
      <c r="A60" s="5">
        <v>45350</v>
      </c>
      <c r="B60" s="6" t="s">
        <v>12</v>
      </c>
      <c r="C60" s="6" t="s">
        <v>3</v>
      </c>
      <c r="D60" s="24">
        <v>26</v>
      </c>
      <c r="E60" s="28">
        <v>50</v>
      </c>
      <c r="F60" s="32">
        <f t="shared" si="2"/>
        <v>0.05</v>
      </c>
      <c r="G60" s="28">
        <v>1300</v>
      </c>
      <c r="H60" s="6" t="s">
        <v>30</v>
      </c>
      <c r="I60" s="7" t="s">
        <v>19</v>
      </c>
      <c r="J60" s="6">
        <f t="shared" si="3"/>
        <v>2</v>
      </c>
    </row>
    <row r="61" spans="1:10" ht="25.5" customHeight="1">
      <c r="A61" s="8">
        <v>45351</v>
      </c>
      <c r="B61" s="9" t="s">
        <v>15</v>
      </c>
      <c r="C61" s="9" t="s">
        <v>6</v>
      </c>
      <c r="D61" s="25">
        <v>48</v>
      </c>
      <c r="E61" s="29">
        <v>25</v>
      </c>
      <c r="F61" s="33">
        <f t="shared" si="2"/>
        <v>0.05</v>
      </c>
      <c r="G61" s="29">
        <v>1200</v>
      </c>
      <c r="H61" s="9" t="s">
        <v>31</v>
      </c>
      <c r="I61" s="10" t="s">
        <v>18</v>
      </c>
      <c r="J61" s="6">
        <f t="shared" si="3"/>
        <v>2</v>
      </c>
    </row>
  </sheetData>
  <mergeCells count="1">
    <mergeCell ref="K1:T3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J11" sqref="J11"/>
    </sheetView>
  </sheetViews>
  <sheetFormatPr defaultColWidth="16.375" defaultRowHeight="24" customHeight="1"/>
  <cols>
    <col min="2" max="2" width="36.625" bestFit="1" customWidth="1"/>
    <col min="6" max="6" width="36.625" bestFit="1" customWidth="1"/>
    <col min="10" max="10" width="23.75" bestFit="1" customWidth="1"/>
  </cols>
  <sheetData>
    <row r="1" spans="1:11" ht="24" customHeight="1">
      <c r="A1" s="12" t="s">
        <v>26</v>
      </c>
      <c r="B1" s="48" t="s">
        <v>32</v>
      </c>
      <c r="C1" s="48"/>
      <c r="E1" s="18" t="s">
        <v>33</v>
      </c>
      <c r="F1" s="53" t="s">
        <v>34</v>
      </c>
      <c r="G1" s="53"/>
      <c r="I1" s="11" t="s">
        <v>11</v>
      </c>
      <c r="J1" s="52" t="s">
        <v>35</v>
      </c>
      <c r="K1" s="52"/>
    </row>
    <row r="2" spans="1:11" ht="24" customHeight="1">
      <c r="A2" s="13" t="str" cm="1">
        <f t="array" ref="A2:A5">_xlfn.UNIQUE(Table1[Sales_Person])</f>
        <v>Alex</v>
      </c>
      <c r="B2" s="49">
        <f>SUMIF(Table1[Sales_Person],A2,Table1[Revenue])</f>
        <v>88200</v>
      </c>
      <c r="C2" s="49"/>
      <c r="E2" s="13" t="str" cm="1">
        <f t="array" ref="E2:E4">_xlfn.UNIQUE(Table1[Sales_Channel])</f>
        <v>Online</v>
      </c>
      <c r="F2" s="49">
        <f>SUMIF(Table1[Sales_Channel],E2,Table1[Revenue])</f>
        <v>81675</v>
      </c>
      <c r="G2" s="49"/>
      <c r="I2" s="17" t="str" cm="1">
        <f t="array" ref="I2:I5">_xlfn.UNIQUE(Table1[Region])</f>
        <v>North</v>
      </c>
      <c r="J2" s="49">
        <f>SUMIF(Table1[Region],I2,Table1[Revenue])</f>
        <v>88200</v>
      </c>
      <c r="K2" s="49"/>
    </row>
    <row r="3" spans="1:11" ht="24" customHeight="1">
      <c r="A3" s="13" t="str">
        <v>Bella</v>
      </c>
      <c r="B3" s="49">
        <f>SUMIF(Table1[Sales_Person],A3,Table1[Revenue])</f>
        <v>35275</v>
      </c>
      <c r="C3" s="49"/>
      <c r="E3" s="13" t="str">
        <v>Retail</v>
      </c>
      <c r="F3" s="49">
        <f>SUMIF(Table1[Sales_Channel],E3,Table1[Revenue])</f>
        <v>88825</v>
      </c>
      <c r="G3" s="49"/>
      <c r="I3" s="17" t="str">
        <v>South</v>
      </c>
      <c r="J3" s="49">
        <f>SUMIF(Table1[Region],I3,Table1[Revenue])</f>
        <v>35275</v>
      </c>
      <c r="K3" s="49"/>
    </row>
    <row r="4" spans="1:11" ht="24" customHeight="1">
      <c r="A4" s="13" t="str">
        <v>Chris</v>
      </c>
      <c r="B4" s="49">
        <f>SUMIF(Table1[Sales_Person],A4,Table1[Revenue])</f>
        <v>76150</v>
      </c>
      <c r="C4" s="49"/>
      <c r="E4" s="13" t="str">
        <v>Wholesale</v>
      </c>
      <c r="F4" s="49">
        <f>SUMIF(Table1[Sales_Channel],E4,Table1[Revenue])</f>
        <v>65325</v>
      </c>
      <c r="G4" s="49"/>
      <c r="I4" s="17" t="str">
        <v>East</v>
      </c>
      <c r="J4" s="49">
        <f>SUMIF(Table1[Region],I4,Table1[Revenue])</f>
        <v>76150</v>
      </c>
      <c r="K4" s="49"/>
    </row>
    <row r="5" spans="1:11" ht="24" customHeight="1">
      <c r="A5" s="14" t="str">
        <v>Diana</v>
      </c>
      <c r="B5" s="49">
        <f>SUMIF(Table1[Sales_Person],A5,Table1[Revenue])</f>
        <v>36200</v>
      </c>
      <c r="C5" s="49"/>
      <c r="E5" s="19" t="s">
        <v>36</v>
      </c>
      <c r="F5" s="54">
        <f>SUM(F2:F4)</f>
        <v>235825</v>
      </c>
      <c r="G5" s="54"/>
      <c r="I5" s="17" t="str">
        <v>West</v>
      </c>
      <c r="J5" s="49">
        <f>SUMIF(Table1[Region],I5,Table1[Revenue])</f>
        <v>36200</v>
      </c>
      <c r="K5" s="49"/>
    </row>
    <row r="6" spans="1:11" ht="24" customHeight="1">
      <c r="A6" s="15" t="s">
        <v>36</v>
      </c>
      <c r="B6" s="50">
        <f>SUM(B2:B5)</f>
        <v>235825</v>
      </c>
      <c r="C6" s="51"/>
      <c r="I6" s="15" t="s">
        <v>37</v>
      </c>
      <c r="J6" s="54">
        <f>SUM(J2:K5)</f>
        <v>235825</v>
      </c>
      <c r="K6" s="54"/>
    </row>
    <row r="8" spans="1:11" ht="24" customHeight="1">
      <c r="A8" s="12" t="s">
        <v>1</v>
      </c>
      <c r="B8" s="52" t="s">
        <v>38</v>
      </c>
      <c r="C8" s="52"/>
      <c r="E8" s="11" t="s">
        <v>11</v>
      </c>
      <c r="F8" s="52" t="s">
        <v>39</v>
      </c>
      <c r="G8" s="52"/>
    </row>
    <row r="9" spans="1:11" ht="24" customHeight="1">
      <c r="A9" s="13" t="str" cm="1">
        <f t="array" ref="A9:A14">_xlfn.UNIQUE(Table1[Product])</f>
        <v>Laptop</v>
      </c>
      <c r="B9" s="49">
        <f>SUMIF(Table1[Product],A9,Table1[Units_Sold])</f>
        <v>67</v>
      </c>
      <c r="C9" s="49"/>
      <c r="E9" s="17" t="str" cm="1">
        <f t="array" ref="E9:E12">_xlfn.UNIQUE(Table1[Region])</f>
        <v>North</v>
      </c>
      <c r="F9" s="49">
        <f>SUMIF(Table1[Region],E9,Table1[Units_Sold])</f>
        <v>233</v>
      </c>
      <c r="G9" s="49"/>
    </row>
    <row r="10" spans="1:11" ht="24" customHeight="1">
      <c r="A10" s="13" t="str">
        <v>Tablet</v>
      </c>
      <c r="B10" s="49">
        <f>SUMIF(Table1[Product],A10,Table1[Units_Sold])</f>
        <v>84</v>
      </c>
      <c r="C10" s="49"/>
      <c r="E10" s="17" t="str">
        <v>South</v>
      </c>
      <c r="F10" s="49">
        <f>SUMIF(Table1[Region],E10,Table1[Units_Sold])</f>
        <v>286</v>
      </c>
      <c r="G10" s="49"/>
    </row>
    <row r="11" spans="1:11" ht="24" customHeight="1">
      <c r="A11" s="13" t="str">
        <v>Smartphone</v>
      </c>
      <c r="B11" s="49">
        <f>SUMIF(Table1[Product],A11,Table1[Units_Sold])</f>
        <v>132</v>
      </c>
      <c r="C11" s="49"/>
      <c r="E11" s="17" t="str">
        <v>East</v>
      </c>
      <c r="F11" s="49">
        <f>SUMIF(Table1[Region],E11,Table1[Units_Sold])</f>
        <v>199</v>
      </c>
      <c r="G11" s="49"/>
    </row>
    <row r="12" spans="1:11" ht="24" customHeight="1">
      <c r="A12" s="13" t="str">
        <v>Monitor</v>
      </c>
      <c r="B12" s="49">
        <f>SUMIF(Table1[Product],A12,Table1[Units_Sold])</f>
        <v>114</v>
      </c>
      <c r="C12" s="49"/>
      <c r="E12" s="17" t="str">
        <v>West</v>
      </c>
      <c r="F12" s="49">
        <f>SUMIF(Table1[Region],E12,Table1[Units_Sold])</f>
        <v>287</v>
      </c>
      <c r="G12" s="49"/>
    </row>
    <row r="13" spans="1:11" ht="24" customHeight="1">
      <c r="A13" s="13" t="str">
        <v>Keyboard</v>
      </c>
      <c r="B13" s="49">
        <f>SUMIF(Table1[Product],A13,Table1[Units_Sold])</f>
        <v>233</v>
      </c>
      <c r="C13" s="49"/>
      <c r="E13" s="15" t="s">
        <v>37</v>
      </c>
      <c r="F13" s="54">
        <f>SUM(F9:F12)</f>
        <v>1005</v>
      </c>
      <c r="G13" s="54"/>
    </row>
    <row r="14" spans="1:11" ht="24" customHeight="1">
      <c r="A14" s="13" t="str">
        <v>Mouse</v>
      </c>
      <c r="B14" s="49">
        <f>SUMIF(Table1[Product],A14,Table1[Units_Sold])</f>
        <v>375</v>
      </c>
      <c r="C14" s="49"/>
    </row>
    <row r="15" spans="1:11" ht="24" customHeight="1">
      <c r="A15" s="19" t="s">
        <v>37</v>
      </c>
      <c r="B15" s="54">
        <f>SUM(B9:B14)</f>
        <v>1005</v>
      </c>
      <c r="C15" s="54"/>
    </row>
  </sheetData>
  <mergeCells count="31">
    <mergeCell ref="B14:C14"/>
    <mergeCell ref="B15:C15"/>
    <mergeCell ref="F8:G8"/>
    <mergeCell ref="F9:G9"/>
    <mergeCell ref="F10:G10"/>
    <mergeCell ref="F11:G11"/>
    <mergeCell ref="F12:G12"/>
    <mergeCell ref="F13:G13"/>
    <mergeCell ref="B12:C12"/>
    <mergeCell ref="B8:C8"/>
    <mergeCell ref="B9:C9"/>
    <mergeCell ref="B10:C10"/>
    <mergeCell ref="B11:C11"/>
    <mergeCell ref="B13:C13"/>
    <mergeCell ref="B6:C6"/>
    <mergeCell ref="J1:K1"/>
    <mergeCell ref="J2:K2"/>
    <mergeCell ref="J3:K3"/>
    <mergeCell ref="J4:K4"/>
    <mergeCell ref="J5:K5"/>
    <mergeCell ref="F1:G1"/>
    <mergeCell ref="F2:G2"/>
    <mergeCell ref="F3:G3"/>
    <mergeCell ref="F4:G4"/>
    <mergeCell ref="F5:G5"/>
    <mergeCell ref="J6:K6"/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workbookViewId="0">
      <selection activeCell="B9" sqref="B9"/>
    </sheetView>
  </sheetViews>
  <sheetFormatPr defaultColWidth="16.875" defaultRowHeight="24.75" customHeight="1"/>
  <cols>
    <col min="1" max="1" width="18.625" bestFit="1" customWidth="1"/>
    <col min="2" max="2" width="34.875" bestFit="1" customWidth="1"/>
    <col min="3" max="3" width="36.625" style="20" bestFit="1" customWidth="1"/>
  </cols>
  <sheetData>
    <row r="1" spans="1:4" ht="24.75" customHeight="1">
      <c r="A1" s="56" t="s">
        <v>40</v>
      </c>
      <c r="B1" s="56"/>
      <c r="C1" s="56"/>
      <c r="D1" s="56"/>
    </row>
    <row r="2" spans="1:4" ht="24.75" customHeight="1">
      <c r="A2" s="56"/>
      <c r="B2" s="56"/>
      <c r="C2" s="56"/>
      <c r="D2" s="56"/>
    </row>
    <row r="3" spans="1:4" ht="24.75" customHeight="1">
      <c r="A3" s="56"/>
      <c r="B3" s="56"/>
      <c r="C3" s="56"/>
      <c r="D3" s="56"/>
    </row>
    <row r="4" spans="1:4" ht="24.75" customHeight="1">
      <c r="A4" s="37" t="s">
        <v>41</v>
      </c>
      <c r="B4" s="12" t="s">
        <v>42</v>
      </c>
      <c r="C4" s="48" t="s">
        <v>43</v>
      </c>
      <c r="D4" s="48"/>
    </row>
    <row r="5" spans="1:4" ht="24.75" customHeight="1">
      <c r="A5" s="38">
        <v>0.12</v>
      </c>
      <c r="B5" s="39">
        <f>SUM(C5:C64)</f>
        <v>207526</v>
      </c>
      <c r="C5" s="55">
        <f>'Project Database'!G2*(1-$A$5)</f>
        <v>3960</v>
      </c>
      <c r="D5" s="55"/>
    </row>
    <row r="6" spans="1:4" ht="24.75" customHeight="1">
      <c r="A6" s="36"/>
      <c r="B6" s="35"/>
      <c r="C6" s="55">
        <f>'Project Database'!G3*(1-$A$5)</f>
        <v>2816</v>
      </c>
      <c r="D6" s="55"/>
    </row>
    <row r="7" spans="1:4" ht="24.75" customHeight="1">
      <c r="A7" s="36"/>
      <c r="B7" s="35"/>
      <c r="C7" s="55">
        <f>'Project Database'!G4*(1-$A$5)</f>
        <v>7392</v>
      </c>
      <c r="D7" s="55"/>
    </row>
    <row r="8" spans="1:4" ht="24.75" customHeight="1">
      <c r="A8" s="36"/>
      <c r="B8" s="35"/>
      <c r="C8" s="55">
        <f>'Project Database'!G5*(1-$A$5)</f>
        <v>2200</v>
      </c>
      <c r="D8" s="55"/>
    </row>
    <row r="9" spans="1:4" ht="24.75" customHeight="1">
      <c r="A9" s="36"/>
      <c r="B9" s="35"/>
      <c r="C9" s="55">
        <f>'Project Database'!G6*(1-$A$5)</f>
        <v>880</v>
      </c>
      <c r="D9" s="55"/>
    </row>
    <row r="10" spans="1:4" ht="24.75" customHeight="1">
      <c r="A10" s="36"/>
      <c r="B10" s="35"/>
      <c r="C10" s="55">
        <f>'Project Database'!G7*(1-$A$5)</f>
        <v>660</v>
      </c>
      <c r="D10" s="55"/>
    </row>
    <row r="11" spans="1:4" ht="24.75" customHeight="1">
      <c r="A11" s="36"/>
      <c r="B11" s="35"/>
      <c r="C11" s="55">
        <f>'Project Database'!G8*(1-$A$5)</f>
        <v>4752</v>
      </c>
      <c r="D11" s="55"/>
    </row>
    <row r="12" spans="1:4" ht="24.75" customHeight="1">
      <c r="A12" s="36"/>
      <c r="B12" s="35"/>
      <c r="C12" s="55">
        <f>'Project Database'!G9*(1-$A$5)</f>
        <v>3168</v>
      </c>
      <c r="D12" s="55"/>
    </row>
    <row r="13" spans="1:4" ht="24.75" customHeight="1">
      <c r="A13" s="36"/>
      <c r="B13" s="35"/>
      <c r="C13" s="55">
        <f>'Project Database'!G10*(1-$A$5)</f>
        <v>8624</v>
      </c>
      <c r="D13" s="55"/>
    </row>
    <row r="14" spans="1:4" ht="24.75" customHeight="1">
      <c r="A14" s="36"/>
      <c r="B14" s="35"/>
      <c r="C14" s="55">
        <f>'Project Database'!G11*(1-$A$5)</f>
        <v>2420</v>
      </c>
      <c r="D14" s="55"/>
    </row>
    <row r="15" spans="1:4" ht="24.75" customHeight="1">
      <c r="A15" s="36"/>
      <c r="B15" s="35"/>
      <c r="C15" s="55">
        <f>'Project Database'!G12*(1-$A$5)</f>
        <v>968</v>
      </c>
      <c r="D15" s="55"/>
    </row>
    <row r="16" spans="1:4" ht="24.75" customHeight="1">
      <c r="A16" s="36"/>
      <c r="B16" s="35"/>
      <c r="C16" s="55">
        <f>'Project Database'!G13*(1-$A$5)</f>
        <v>770</v>
      </c>
      <c r="D16" s="55"/>
    </row>
    <row r="17" spans="1:4" ht="24.75" customHeight="1">
      <c r="A17" s="36"/>
      <c r="B17" s="35"/>
      <c r="C17" s="55">
        <f>'Project Database'!G14*(1-$A$5)</f>
        <v>3168</v>
      </c>
      <c r="D17" s="55"/>
    </row>
    <row r="18" spans="1:4" ht="24.75" customHeight="1">
      <c r="A18" s="36"/>
      <c r="B18" s="35"/>
      <c r="C18" s="55">
        <f>'Project Database'!G15*(1-$A$5)</f>
        <v>2464</v>
      </c>
      <c r="D18" s="55"/>
    </row>
    <row r="19" spans="1:4" ht="24.75" customHeight="1">
      <c r="A19" s="36"/>
      <c r="B19" s="35"/>
      <c r="C19" s="55">
        <f>'Project Database'!G16*(1-$A$5)</f>
        <v>6160</v>
      </c>
      <c r="D19" s="55"/>
    </row>
    <row r="20" spans="1:4" ht="24.75" customHeight="1">
      <c r="A20" s="36"/>
      <c r="B20" s="35"/>
      <c r="C20" s="55">
        <f>'Project Database'!G17*(1-$A$5)</f>
        <v>2640</v>
      </c>
      <c r="D20" s="55"/>
    </row>
    <row r="21" spans="1:4" ht="24.75" customHeight="1">
      <c r="A21" s="36"/>
      <c r="B21" s="35"/>
      <c r="C21" s="55">
        <f>'Project Database'!G18*(1-$A$5)</f>
        <v>1100</v>
      </c>
      <c r="D21" s="55"/>
    </row>
    <row r="22" spans="1:4" ht="24.75" customHeight="1">
      <c r="A22" s="16"/>
      <c r="B22" s="35"/>
      <c r="C22" s="55">
        <f>'Project Database'!G19*(1-$A$5)</f>
        <v>880</v>
      </c>
      <c r="D22" s="55"/>
    </row>
    <row r="23" spans="1:4" ht="24.75" customHeight="1">
      <c r="A23" s="16"/>
      <c r="B23" s="35"/>
      <c r="C23" s="55">
        <f>'Project Database'!G20*(1-$A$5)</f>
        <v>6336</v>
      </c>
      <c r="D23" s="55"/>
    </row>
    <row r="24" spans="1:4" ht="24.75" customHeight="1">
      <c r="A24" s="16"/>
      <c r="B24" s="35"/>
      <c r="C24" s="55">
        <f>'Project Database'!G21*(1-$A$5)</f>
        <v>2112</v>
      </c>
      <c r="D24" s="55"/>
    </row>
    <row r="25" spans="1:4" ht="24.75" customHeight="1">
      <c r="A25" s="16"/>
      <c r="B25" s="35"/>
      <c r="C25" s="55">
        <f>'Project Database'!G22*(1-$A$5)</f>
        <v>9240</v>
      </c>
      <c r="D25" s="55"/>
    </row>
    <row r="26" spans="1:4" ht="24.75" customHeight="1">
      <c r="A26" s="16"/>
      <c r="B26" s="35"/>
      <c r="C26" s="55">
        <f>'Project Database'!G23*(1-$A$5)</f>
        <v>1980</v>
      </c>
      <c r="D26" s="55"/>
    </row>
    <row r="27" spans="1:4" ht="24.75" customHeight="1">
      <c r="A27" s="16"/>
      <c r="B27" s="35"/>
      <c r="C27" s="55">
        <f>'Project Database'!G24*(1-$A$5)</f>
        <v>792</v>
      </c>
      <c r="D27" s="55"/>
    </row>
    <row r="28" spans="1:4" ht="24.75" customHeight="1">
      <c r="A28" s="16"/>
      <c r="B28" s="35"/>
      <c r="C28" s="55">
        <f>'Project Database'!G25*(1-$A$5)</f>
        <v>616</v>
      </c>
      <c r="D28" s="55"/>
    </row>
    <row r="29" spans="1:4" ht="24.75" customHeight="1">
      <c r="A29" s="16"/>
      <c r="B29" s="35"/>
      <c r="C29" s="55">
        <f>'Project Database'!G26*(1-$A$5)</f>
        <v>5544</v>
      </c>
      <c r="D29" s="55"/>
    </row>
    <row r="30" spans="1:4" ht="24.75" customHeight="1">
      <c r="A30" s="16"/>
      <c r="B30" s="35"/>
      <c r="C30" s="55">
        <f>'Project Database'!G27*(1-$A$5)</f>
        <v>3520</v>
      </c>
      <c r="D30" s="55"/>
    </row>
    <row r="31" spans="1:4" ht="24.75" customHeight="1">
      <c r="A31" s="16"/>
      <c r="B31" s="35"/>
      <c r="C31" s="55">
        <f>'Project Database'!G28*(1-$A$5)</f>
        <v>8008</v>
      </c>
      <c r="D31" s="55"/>
    </row>
    <row r="32" spans="1:4" ht="24.75" customHeight="1">
      <c r="A32" s="16"/>
      <c r="B32" s="35"/>
      <c r="C32" s="55">
        <f>'Project Database'!G29*(1-$A$5)</f>
        <v>3080</v>
      </c>
      <c r="D32" s="55"/>
    </row>
    <row r="33" spans="1:4" ht="24.75" customHeight="1">
      <c r="A33" s="16"/>
      <c r="B33" s="35"/>
      <c r="C33" s="55">
        <f>'Project Database'!G30*(1-$A$5)</f>
        <v>1320</v>
      </c>
      <c r="D33" s="55"/>
    </row>
    <row r="34" spans="1:4" ht="24.75" customHeight="1">
      <c r="A34" s="16"/>
      <c r="B34" s="35"/>
      <c r="C34" s="55">
        <f>'Project Database'!G31*(1-$A$5)</f>
        <v>990</v>
      </c>
      <c r="D34" s="55"/>
    </row>
    <row r="35" spans="1:4" ht="24.75" customHeight="1">
      <c r="A35" s="16"/>
      <c r="B35" s="35"/>
      <c r="C35" s="55">
        <f>'Project Database'!G32*(1-$A$5)</f>
        <v>3960</v>
      </c>
      <c r="D35" s="55"/>
    </row>
    <row r="36" spans="1:4" ht="24.75" customHeight="1">
      <c r="A36" s="16"/>
      <c r="B36" s="35"/>
      <c r="C36" s="55">
        <f>'Project Database'!G33*(1-$A$5)</f>
        <v>2816</v>
      </c>
      <c r="D36" s="55"/>
    </row>
    <row r="37" spans="1:4" ht="24.75" customHeight="1">
      <c r="A37" s="16"/>
      <c r="B37" s="35"/>
      <c r="C37" s="55">
        <f>'Project Database'!G34*(1-$A$5)</f>
        <v>6776</v>
      </c>
      <c r="D37" s="55"/>
    </row>
    <row r="38" spans="1:4" ht="24.75" customHeight="1">
      <c r="A38" s="16"/>
      <c r="B38" s="35"/>
      <c r="C38" s="55">
        <f>'Project Database'!G35*(1-$A$5)</f>
        <v>2200</v>
      </c>
      <c r="D38" s="55"/>
    </row>
    <row r="39" spans="1:4" ht="24.75" customHeight="1">
      <c r="A39" s="16"/>
      <c r="B39" s="35"/>
      <c r="C39" s="55">
        <f>'Project Database'!G36*(1-$A$5)</f>
        <v>880</v>
      </c>
      <c r="D39" s="55"/>
    </row>
    <row r="40" spans="1:4" ht="24.75" customHeight="1">
      <c r="A40" s="16"/>
      <c r="B40" s="35"/>
      <c r="C40" s="55">
        <f>'Project Database'!G37*(1-$A$5)</f>
        <v>726</v>
      </c>
      <c r="D40" s="55"/>
    </row>
    <row r="41" spans="1:4" ht="24.75" customHeight="1">
      <c r="A41" s="16"/>
      <c r="B41" s="35"/>
      <c r="C41" s="55">
        <f>'Project Database'!G38*(1-$A$5)</f>
        <v>7128</v>
      </c>
      <c r="D41" s="55"/>
    </row>
    <row r="42" spans="1:4" ht="24.75" customHeight="1">
      <c r="A42" s="16"/>
      <c r="B42" s="35"/>
      <c r="C42" s="55">
        <f>'Project Database'!G39*(1-$A$5)</f>
        <v>2112</v>
      </c>
      <c r="D42" s="55"/>
    </row>
    <row r="43" spans="1:4" ht="24.75" customHeight="1">
      <c r="A43" s="16"/>
      <c r="B43" s="35"/>
      <c r="C43" s="55">
        <f>'Project Database'!G40*(1-$A$5)</f>
        <v>9856</v>
      </c>
      <c r="D43" s="55"/>
    </row>
    <row r="44" spans="1:4" ht="24.75" customHeight="1">
      <c r="A44" s="16"/>
      <c r="B44" s="35"/>
      <c r="C44" s="55">
        <f>'Project Database'!G41*(1-$A$5)</f>
        <v>1760</v>
      </c>
      <c r="D44" s="55"/>
    </row>
    <row r="45" spans="1:4" ht="24.75" customHeight="1">
      <c r="A45" s="16"/>
      <c r="B45" s="35"/>
      <c r="C45" s="55">
        <f>'Project Database'!G42*(1-$A$5)</f>
        <v>1188</v>
      </c>
      <c r="D45" s="55"/>
    </row>
    <row r="46" spans="1:4" ht="24.75" customHeight="1">
      <c r="A46" s="16"/>
      <c r="B46" s="35"/>
      <c r="C46" s="55">
        <f>'Project Database'!G43*(1-$A$5)</f>
        <v>836</v>
      </c>
      <c r="D46" s="55"/>
    </row>
    <row r="47" spans="1:4" ht="24.75" customHeight="1">
      <c r="A47" s="16"/>
      <c r="B47" s="35"/>
      <c r="C47" s="55">
        <f>'Project Database'!G44*(1-$A$5)</f>
        <v>4752</v>
      </c>
      <c r="D47" s="55"/>
    </row>
    <row r="48" spans="1:4" ht="24.75" customHeight="1">
      <c r="A48" s="16"/>
      <c r="B48" s="35"/>
      <c r="C48" s="55">
        <f>'Project Database'!G45*(1-$A$5)</f>
        <v>3168</v>
      </c>
      <c r="D48" s="55"/>
    </row>
    <row r="49" spans="1:4" ht="24.75" customHeight="1">
      <c r="A49" s="16"/>
      <c r="B49" s="35"/>
      <c r="C49" s="55">
        <f>'Project Database'!G46*(1-$A$5)</f>
        <v>11088</v>
      </c>
      <c r="D49" s="55"/>
    </row>
    <row r="50" spans="1:4" ht="24.75" customHeight="1">
      <c r="A50" s="16"/>
      <c r="B50" s="35"/>
      <c r="C50" s="55">
        <f>'Project Database'!G47*(1-$A$5)</f>
        <v>2860</v>
      </c>
      <c r="D50" s="55"/>
    </row>
    <row r="51" spans="1:4" ht="24.75" customHeight="1">
      <c r="A51" s="16"/>
      <c r="B51" s="35"/>
      <c r="C51" s="55">
        <f>'Project Database'!G48*(1-$A$5)</f>
        <v>924</v>
      </c>
      <c r="D51" s="55"/>
    </row>
    <row r="52" spans="1:4" ht="24.75" customHeight="1">
      <c r="A52" s="16"/>
      <c r="B52" s="35"/>
      <c r="C52" s="55">
        <f>'Project Database'!G49*(1-$A$5)</f>
        <v>924</v>
      </c>
      <c r="D52" s="55"/>
    </row>
    <row r="53" spans="1:4" ht="24.75" customHeight="1">
      <c r="A53" s="16"/>
      <c r="B53" s="35"/>
      <c r="C53" s="55">
        <f>'Project Database'!G50*(1-$A$5)</f>
        <v>7920</v>
      </c>
      <c r="D53" s="55"/>
    </row>
    <row r="54" spans="1:4" ht="24.75" customHeight="1">
      <c r="A54" s="16"/>
      <c r="B54" s="35"/>
      <c r="C54" s="55">
        <f>'Project Database'!G51*(1-$A$5)</f>
        <v>3872</v>
      </c>
      <c r="D54" s="55"/>
    </row>
    <row r="55" spans="1:4" ht="24.75" customHeight="1">
      <c r="A55" s="16"/>
      <c r="B55" s="35"/>
      <c r="C55" s="55">
        <f>'Project Database'!G52*(1-$A$5)</f>
        <v>5544</v>
      </c>
      <c r="D55" s="55"/>
    </row>
    <row r="56" spans="1:4" ht="24.75" customHeight="1">
      <c r="A56" s="16"/>
      <c r="B56" s="35"/>
      <c r="C56" s="55">
        <f>'Project Database'!G53*(1-$A$5)</f>
        <v>3300</v>
      </c>
      <c r="D56" s="55"/>
    </row>
    <row r="57" spans="1:4" ht="24.75" customHeight="1">
      <c r="A57" s="16"/>
      <c r="B57" s="35"/>
      <c r="C57" s="55">
        <f>'Project Database'!G54*(1-$A$5)</f>
        <v>1056</v>
      </c>
      <c r="D57" s="55"/>
    </row>
    <row r="58" spans="1:4" ht="24.75" customHeight="1">
      <c r="A58" s="16"/>
      <c r="B58" s="35"/>
      <c r="C58" s="55">
        <f>'Project Database'!G55*(1-$A$5)</f>
        <v>792</v>
      </c>
      <c r="D58" s="55"/>
    </row>
    <row r="59" spans="1:4" ht="24.75" customHeight="1">
      <c r="A59" s="16"/>
      <c r="B59" s="35"/>
      <c r="C59" s="55">
        <f>'Project Database'!G56*(1-$A$5)</f>
        <v>5544</v>
      </c>
      <c r="D59" s="55"/>
    </row>
    <row r="60" spans="1:4" ht="24.75" customHeight="1">
      <c r="A60" s="16"/>
      <c r="B60" s="35"/>
      <c r="C60" s="55">
        <f>'Project Database'!G57*(1-$A$5)</f>
        <v>3520</v>
      </c>
      <c r="D60" s="55"/>
    </row>
    <row r="61" spans="1:4" ht="24.75" customHeight="1">
      <c r="A61" s="16"/>
      <c r="B61" s="35"/>
      <c r="C61" s="55">
        <f>'Project Database'!G58*(1-$A$5)</f>
        <v>8624</v>
      </c>
      <c r="D61" s="55"/>
    </row>
    <row r="62" spans="1:4" ht="24.75" customHeight="1">
      <c r="A62" s="16"/>
      <c r="B62" s="35"/>
      <c r="C62" s="55">
        <f>'Project Database'!G59*(1-$A$5)</f>
        <v>2640</v>
      </c>
      <c r="D62" s="55"/>
    </row>
    <row r="63" spans="1:4" ht="24.75" customHeight="1">
      <c r="A63" s="16"/>
      <c r="B63" s="35"/>
      <c r="C63" s="55">
        <f>'Project Database'!G60*(1-$A$5)</f>
        <v>1144</v>
      </c>
      <c r="D63" s="55"/>
    </row>
    <row r="64" spans="1:4" ht="24.75" customHeight="1">
      <c r="A64" s="16"/>
      <c r="B64" s="35"/>
      <c r="C64" s="55">
        <f>'Project Database'!G61*(1-$A$5)</f>
        <v>1056</v>
      </c>
      <c r="D64" s="55"/>
    </row>
  </sheetData>
  <mergeCells count="62">
    <mergeCell ref="C62:D62"/>
    <mergeCell ref="C63:D63"/>
    <mergeCell ref="C64:D64"/>
    <mergeCell ref="C56:D56"/>
    <mergeCell ref="C57:D57"/>
    <mergeCell ref="C58:D58"/>
    <mergeCell ref="C59:D59"/>
    <mergeCell ref="C61:D61"/>
    <mergeCell ref="C60:D60"/>
    <mergeCell ref="C55:D55"/>
    <mergeCell ref="C45:D45"/>
    <mergeCell ref="C44:D44"/>
    <mergeCell ref="C46:D46"/>
    <mergeCell ref="C47:D47"/>
    <mergeCell ref="C48:D48"/>
    <mergeCell ref="C49:D49"/>
    <mergeCell ref="C50:D50"/>
    <mergeCell ref="C52:D52"/>
    <mergeCell ref="C51:D51"/>
    <mergeCell ref="C53:D53"/>
    <mergeCell ref="C54:D54"/>
    <mergeCell ref="C43:D43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2:D42"/>
    <mergeCell ref="C41:D41"/>
    <mergeCell ref="C31:D31"/>
    <mergeCell ref="C20:D20"/>
    <mergeCell ref="C21:D21"/>
    <mergeCell ref="C22:D22"/>
    <mergeCell ref="C24:D24"/>
    <mergeCell ref="C23:D23"/>
    <mergeCell ref="C25:D25"/>
    <mergeCell ref="C27:D27"/>
    <mergeCell ref="C26:D26"/>
    <mergeCell ref="C29:D29"/>
    <mergeCell ref="C28:D28"/>
    <mergeCell ref="C30:D30"/>
    <mergeCell ref="C15:D15"/>
    <mergeCell ref="C16:D16"/>
    <mergeCell ref="C17:D17"/>
    <mergeCell ref="C19:D19"/>
    <mergeCell ref="C18:D18"/>
    <mergeCell ref="A1:D3"/>
    <mergeCell ref="C10:D10"/>
    <mergeCell ref="C11:D11"/>
    <mergeCell ref="C12:D12"/>
    <mergeCell ref="C14:D14"/>
    <mergeCell ref="C13:D13"/>
    <mergeCell ref="C4:D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 Monthly Revenue</vt:lpstr>
      <vt:lpstr>Region Wise Revenue</vt:lpstr>
      <vt:lpstr>Qty Sold of Products</vt:lpstr>
      <vt:lpstr>Product Wise Revenue</vt:lpstr>
      <vt:lpstr>Revenue Through Sales Channel</vt:lpstr>
      <vt:lpstr>Project Database</vt:lpstr>
      <vt:lpstr>Sales Analysis</vt:lpstr>
      <vt:lpstr>WHAT-IF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</cp:lastModifiedBy>
  <cp:revision/>
  <dcterms:created xsi:type="dcterms:W3CDTF">2025-12-24T08:52:49Z</dcterms:created>
  <dcterms:modified xsi:type="dcterms:W3CDTF">2026-03-29T09:35:02Z</dcterms:modified>
  <cp:category/>
  <cp:contentStatus/>
</cp:coreProperties>
</file>